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4a76f29a8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导航" sheetId="1" r:id="Rde182fd3ca84422c"/>
    <x:sheet xmlns:r="http://schemas.openxmlformats.org/officeDocument/2006/relationships" name="30类产物总览" sheetId="2" r:id="R4b1380dc0ba9407e"/>
    <x:sheet xmlns:r="http://schemas.openxmlformats.org/officeDocument/2006/relationships" name="逐文件明细" sheetId="3" r:id="R199608f15d7c4395"/>
    <x:sheet xmlns:r="http://schemas.openxmlformats.org/officeDocument/2006/relationships" name="来源与约定" sheetId="4" r:id="Re140d39ff372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&quot; KiB&quot;"/>
    <x:numFmt numFmtId="202" formatCode="0"/>
  </x:numFmts>
  <x:fonts count="16">
    <x:font>
      <x:sz val="11"/>
      <x:name val="Carlito"/>
    </x:font>
    <x:font>
      <x:sz val="10"/>
      <x:color rgb="FF25364A"/>
      <x:name val="Microsoft YaHei"/>
    </x:font>
    <x:font>
      <x:b/>
      <x:sz val="19"/>
      <x:color rgb="FFFFFFFF"/>
      <x:name val="Microsoft YaHei"/>
    </x:font>
    <x:font>
      <x:sz val="10"/>
      <x:color rgb="FF64748B"/>
      <x:name val="Microsoft YaHei"/>
    </x:font>
    <x:font>
      <x:sz val="10"/>
      <x:color rgb="FF8A5B00"/>
      <x:name val="Microsoft YaHei"/>
    </x:font>
    <x:font>
      <x:b/>
      <x:sz val="10"/>
      <x:color rgb="FFFFFFFF"/>
      <x:name val="Microsoft YaHei"/>
    </x:font>
    <x:font>
      <x:b/>
      <x:sz val="10"/>
      <x:color rgb="FF176B73"/>
      <x:name val="Microsoft YaHei"/>
    </x:font>
    <x:font>
      <x:sz val="10"/>
      <x:color rgb="FF2165A5"/>
      <x:name val="Microsoft YaHei"/>
    </x:font>
    <x:font>
      <x:sz val="9"/>
      <x:color rgb="FF64748B"/>
      <x:name val="Microsoft YaHei"/>
    </x:font>
    <x:font>
      <x:b/>
      <x:sz val="10"/>
      <x:color rgb="FF2165A5"/>
      <x:name val="Microsoft YaHei"/>
    </x:font>
    <x:font>
      <x:b/>
      <x:sz val="10"/>
      <x:color rgb="FF8A5B00"/>
      <x:name val="Microsoft YaHei"/>
    </x:font>
    <x:font>
      <x:b/>
      <x:sz val="28"/>
      <x:color rgb="FF17324D"/>
      <x:name val="Microsoft YaHei"/>
    </x:font>
    <x:font>
      <x:b/>
      <x:sz val="11"/>
      <x:color rgb="FFFFFFFF"/>
      <x:name val="Microsoft YaHei"/>
    </x:font>
    <x:font>
      <x:b/>
      <x:sz val="10"/>
      <x:color rgb="FF25364A"/>
      <x:name val="Microsoft YaHei"/>
    </x:font>
    <x:font>
      <x:sz val="9"/>
      <x:color rgb="FF25364A"/>
      <x:name val="Microsoft YaHei"/>
    </x:font>
    <x:font>
      <x:sz val="9"/>
      <x:color rgb="FF25364A"/>
      <x:name val="Consolas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FFF3D6"/>
      </x:patternFill>
    </x:fill>
    <x:fill>
      <x:patternFill patternType="solid">
        <x:fgColor rgb="FFF2F6FA"/>
      </x:patternFill>
    </x:fill>
    <x:fill>
      <x:patternFill patternType="solid">
        <x:fgColor rgb="FF176B73"/>
      </x:patternFill>
    </x:fill>
    <x:fill>
      <x:patternFill patternType="solid">
        <x:fgColor rgb="FFEAF4F0"/>
      </x:patternFill>
    </x:fill>
    <x:fill>
      <x:patternFill patternType="solid">
        <x:fgColor rgb="FFE8EEF4"/>
      </x:patternFill>
    </x:fill>
  </x:fills>
  <x:borders count="2">
    <x:border/>
    <x:border/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200" fontId="1" fillId="5" borderId="1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2" borderId="1" xfId="0" applyNumberFormat="1" applyFont="1" applyFill="1" applyBorder="1" applyAlignment="1">
      <x:alignment vertical="top" wrapText="1"/>
    </x:xf>
    <x:xf numFmtId="201" fontId="1" fillId="5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201" fontId="1" fillId="2" borderId="0" xfId="0" applyNumberFormat="1" applyFont="1" applyFill="1" applyBorder="1" applyAlignment="1">
      <x:alignment horizontal="right" vertical="top" wrapText="1"/>
    </x:xf>
    <x:xf numFmtId="200" fontId="1" fillId="5" borderId="0" xfId="0" applyNumberFormat="1" applyFont="1" applyFill="1" applyBorder="1" applyAlignment="1">
      <x:alignment horizontal="right"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0" fontId="1" fillId="2" borderId="1" xfId="0" applyNumberFormat="1" applyFont="1" applyFill="1" applyBorder="1" applyAlignment="1">
      <x:alignment horizontal="right" vertical="top" wrapText="1"/>
    </x:xf>
    <x:xf numFmtId="201" fontId="1" fillId="2" borderId="1" xfId="0" applyNumberFormat="1" applyFont="1" applyFill="1" applyBorder="1" applyAlignment="1">
      <x:alignment horizontal="right" vertical="top" wrapText="1"/>
    </x:xf>
    <x:xf numFmtId="200" fontId="1" fillId="5" borderId="1" xfId="0" applyNumberFormat="1" applyFont="1" applyFill="1" applyBorder="1" applyAlignment="1">
      <x:alignment horizontal="right" vertical="top" wrapText="1"/>
    </x:xf>
    <x:xf numFmtId="201" fontId="1" fillId="5" borderId="1" xfId="0" applyNumberFormat="1" applyFont="1" applyFill="1" applyBorder="1" applyAlignment="1">
      <x:alignment horizontal="right" vertical="top" wrapText="1"/>
    </x:xf>
    <x:xf numFmtId="202" fontId="1" fillId="2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8" borderId="0" xfId="0" applyNumberFormat="1" applyFont="1" applyFill="1" applyBorder="1" applyAlignment="1">
      <x:alignment vertical="top" wrapText="1"/>
    </x:xf>
    <x:xf numFmtId="202" fontId="1" fillId="2" borderId="1" xfId="0" applyNumberFormat="1" applyFont="1" applyFill="1" applyBorder="1" applyAlignment="1">
      <x:alignment vertical="top" wrapText="1"/>
    </x:xf>
    <x:xf numFmtId="202" fontId="1" fillId="5" borderId="1" xfId="0" applyNumberFormat="1" applyFont="1" applyFill="1" applyBorder="1" applyAlignment="1">
      <x:alignment vertical="top" wrapText="1"/>
    </x:xf>
    <x:xf numFmtId="202" fontId="1" fillId="8" borderId="1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0" fontId="5" fillId="3" borderId="0" xfId="0" applyNumberFormat="1" applyFont="1" applyFill="1" applyBorder="1" applyAlignment="1">
      <x:alignment horizontal="right" vertical="top" wrapText="1"/>
    </x:xf>
    <x:xf numFmtId="201" fontId="5" fillId="3" borderId="0" xfId="0" applyNumberFormat="1" applyFont="1" applyFill="1" applyBorder="1" applyAlignment="1">
      <x:alignment horizontal="right" vertical="top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 wrapText="1"/>
    </x:xf>
    <x:xf numFmtId="201" fontId="5" fillId="3" borderId="0" xfId="0" applyNumberFormat="1" applyFont="1" applyFill="1" applyBorder="1" applyAlignment="1">
      <x:alignment horizontal="right" vertical="center" wrapText="1"/>
    </x:xf>
    <x:xf numFmtId="200" fontId="1" fillId="3" borderId="1" xfId="0" applyNumberFormat="1" applyFont="1" applyFill="1" applyBorder="1" applyAlignment="1">
      <x:alignment horizontal="right" vertical="top" wrapText="1"/>
    </x:xf>
    <x:xf numFmtId="201" fontId="1" fillId="3" borderId="1" xfId="0" applyNumberFormat="1" applyFont="1" applyFill="1" applyBorder="1" applyAlignment="1">
      <x:alignment horizontal="right" vertical="top" wrapText="1"/>
    </x:xf>
    <x:xf numFmtId="200" fontId="5" fillId="3" borderId="1" xfId="0" applyNumberFormat="1" applyFont="1" applyFill="1" applyBorder="1" applyAlignment="1">
      <x:alignment horizontal="right" vertical="top" wrapText="1"/>
    </x:xf>
    <x:xf numFmtId="201" fontId="5" fillId="3" borderId="1" xfId="0" applyNumberFormat="1" applyFont="1" applyFill="1" applyBorder="1" applyAlignment="1">
      <x:alignment horizontal="right" vertical="top" wrapText="1"/>
    </x:xf>
    <x:xf numFmtId="0" fontId="5" fillId="3" borderId="1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horizontal="right" vertical="center" wrapText="1"/>
    </x:xf>
    <x:xf numFmtId="201" fontId="5" fillId="3" borderId="1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horizontal="center" vertical="top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horizontal="center" vertical="top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202" fontId="11" fillId="5" borderId="0" xfId="0" applyNumberFormat="1" applyFont="1" applyFill="1" applyBorder="1" applyAlignment="1">
      <x:alignment horizontal="center" vertical="center" wrapText="1"/>
    </x:xf>
    <x:xf numFmtId="202" fontId="11" fillId="5" borderId="1" xfId="0" applyNumberFormat="1" applyFont="1" applyFill="1" applyBorder="1" applyAlignment="1">
      <x:alignment horizontal="center" vertical="center" wrapText="1"/>
    </x:xf>
    <x:xf numFmtId="0" fontId="12" fillId="3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2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7fc73c4544e01" /><Relationship Type="http://schemas.openxmlformats.org/officeDocument/2006/relationships/theme" Target="/xl/theme/theme1.xml" Id="R46f35939b6f344a2" /><Relationship Type="http://schemas.openxmlformats.org/officeDocument/2006/relationships/sharedStrings" Target="/xl/sharedStrings.xml" Id="R33db662012d345b7" /><Relationship Type="http://schemas.openxmlformats.org/officeDocument/2006/relationships/worksheet" Target="/xl/worksheets/sheet1.xml" Id="Rde182fd3ca84422c" /><Relationship Type="http://schemas.openxmlformats.org/officeDocument/2006/relationships/worksheet" Target="/xl/worksheets/sheet2.xml" Id="R4b1380dc0ba9407e" /><Relationship Type="http://schemas.openxmlformats.org/officeDocument/2006/relationships/worksheet" Target="/xl/worksheets/sheet3.xml" Id="R199608f15d7c4395" /><Relationship Type="http://schemas.openxmlformats.org/officeDocument/2006/relationships/worksheet" Target="/xl/worksheets/sheet4.xml" Id="Re140d39ff3724b41" /></Relationships>
</file>

<file path=xl/tables/table1.xml><?xml version="1.0" encoding="utf-8"?>
<x:table xmlns:x="http://schemas.openxmlformats.org/spreadsheetml/2006/main" id="1" name="ArtifactOverview" displayName="ArtifactOverview" ref="A6:Q36" headerRowCount="1" totalsRowCount="0" totalsRowShown="0">
  <x:tableColumns count="17">
    <x:tableColumn id="1" name="#"/>
    <x:tableColumn id="2" name="文件"/>
    <x:tableColumn id="3" name="工序"/>
    <x:tableColumn id="4" name="格式"/>
    <x:tableColumn id="5" name="量级"/>
    <x:tableColumn id="6" name="主存"/>
    <x:tableColumn id="7" name="副本"/>
    <x:tableColumn id="8" name="可变"/>
    <x:tableColumn id="9" name="Agent 形式"/>
    <x:tableColumn id="10" name="所在文件夹"/>
    <x:tableColumn id="11" name="实际位置（相对根目录）"/>
    <x:tableColumn id="12" name="意义 / 存什么"/>
    <x:tableColumn id="13" name="本包实际内容"/>
    <x:tableColumn id="14" name="实际文件数"/>
    <x:tableColumn id="15" name="实际大小（KiB）"/>
    <x:tableColumn id="16" name="完成状态 / 使用边界"/>
    <x:tableColumn id="17" name="说明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andedFiles" displayName="ExpandedFiles" ref="A6:L123" headerRowCount="1" totalsRowCount="0" totalsRowShown="0">
  <x:tableColumns count="12">
    <x:tableColumn id="1" name="序号"/>
    <x:tableColumn id="2" name="原清单#"/>
    <x:tableColumn id="3" name="产物类别"/>
    <x:tableColumn id="4" name="所在文件夹"/>
    <x:tableColumn id="5" name="实际路径（相对根）"/>
    <x:tableColumn id="6" name="实际格式"/>
    <x:tableColumn id="7" name="字节数"/>
    <x:tableColumn id="8" name="大小（KiB）"/>
    <x:tableColumn id="9" name="对应内容 / 文件意义"/>
    <x:tableColumn id="10" name="本包状态 / 边界"/>
    <x:tableColumn id="11" name="来源定位"/>
    <x:tableColumn id="12" name="查看所属类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cfc55811f4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23ff73b3e844c7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</x:cols>
  <x:sheetData>
    <x:row r="1" ht="23" customHeight="1">
      <x:c r="A1" s="12" t="str">
        <x:v>语料包文件导航｜30类产物说明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3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9" customHeight="1">
      <x:c r="A3" s="17" t="str">
        <x:v>对应压缩包：澄岳精密_30类产物_原始格式包.zip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5" customHeight="1">
      <x:c r="A5" s="36" t="str">
        <x:v>规范产物类别</x:v>
      </x:c>
      <x:c r="B5" s="36"/>
      <x:c r="C5" s="36"/>
      <x:c r="D5" s="36" t="str">
        <x:v>规范产物文件</x:v>
      </x:c>
      <x:c r="E5" s="36"/>
      <x:c r="F5" s="36"/>
      <x:c r="G5" s="36" t="str">
        <x:v>交付辅助文件</x:v>
      </x:c>
      <x:c r="H5" s="36"/>
      <x:c r="I5" s="36"/>
      <x:c r="J5" s="36" t="str">
        <x:v>全部文件</x:v>
      </x:c>
      <x:c r="K5" s="36"/>
      <x:c r="L5" s="36"/>
    </x:row>
    <x:row r="6" ht="25" customHeight="1">
      <x:c r="A6" s="112" t="n">
        <x:f>COUNTA('30类产物总览'!A7:A36)</x:f>
        <x:v>30</x:v>
      </x:c>
      <x:c r="B6" s="112"/>
      <x:c r="C6" s="112"/>
      <x:c r="D6" s="112" t="n">
        <x:f>SUM('30类产物总览'!N7:N36)</x:f>
        <x:v>114</x:v>
      </x:c>
      <x:c r="E6" s="112"/>
      <x:c r="F6" s="112"/>
      <x:c r="G6" s="112" t="n">
        <x:f>COUNTIF('逐文件明细'!B7:B123,0)</x:f>
        <x:v>3</x:v>
      </x:c>
      <x:c r="H6" s="112"/>
      <x:c r="I6" s="112"/>
      <x:c r="J6" s="112" t="n">
        <x:f>COUNTA('逐文件明细'!E7:E123)</x:f>
        <x:v>117</x:v>
      </x:c>
      <x:c r="K6" s="112"/>
      <x:c r="L6" s="112"/>
    </x:row>
    <x:row r="7" ht="25" customHeight="1">
      <x:c r="A7" s="112"/>
      <x:c r="B7" s="112"/>
      <x:c r="C7" s="112"/>
      <x:c r="D7" s="112"/>
      <x:c r="E7" s="112"/>
      <x:c r="F7" s="112"/>
      <x:c r="G7" s="112"/>
      <x:c r="H7" s="112"/>
      <x:c r="I7" s="112"/>
      <x:c r="J7" s="112"/>
      <x:c r="K7" s="112"/>
      <x:c r="L7" s="112"/>
    </x:row>
    <x:row r="8" ht="22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</x:row>
    <x:row r="9" ht="22" customHeight="1">
      <x:c r="A9" s="22" t="str">
        <x:v>重要边界：本包是离线快照，尚未部署图库、PG、向量库或MCP服务。embeddings.parquet是零行空表；signature.yaml仅有结构化特征。</x:v>
      </x:c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</x:row>
    <x:row r="10" ht="22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</x:row>
    <x:row r="11" ht="22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</x:row>
    <x:row r="12" ht="27" customHeight="1">
      <x:c r="A12" s="115" t="str">
        <x:v>从哪里开始</x:v>
      </x:c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</x:row>
    <x:row r="13" ht="48" customHeight="1">
      <x:c r="A13" s="120" t="str">
        <x:v>看30类总览
工作表：30类产物总览</x:v>
      </x:c>
      <x:c r="B13" s="120"/>
      <x:c r="C13" s="120"/>
      <x:c r="D13" s="118" t="str">
        <x:v>保留你原表的9列，右侧新增路径、意义、实际内容、文件数、体积和边界。</x:v>
      </x:c>
      <x:c r="E13" s="118"/>
      <x:c r="F13" s="118"/>
      <x:c r="G13" s="118"/>
      <x:c r="H13" s="118"/>
      <x:c r="I13" s="118"/>
      <x:c r="J13" s="118"/>
      <x:c r="K13" s="118"/>
      <x:c r="L13" s="118"/>
    </x:row>
    <x:row r="14" ht="48" customHeight="1">
      <x:c r="A14" s="124" t="str">
        <x:v>查每个文件
工作表：逐文件明细</x:v>
      </x:c>
      <x:c r="B14" s="124"/>
      <x:c r="C14" s="124"/>
      <x:c r="D14" s="122" t="str">
        <x:v>114个产物文件和3个辅助文件全部展开；CSV标出表名，章节模板标出标题。</x:v>
      </x:c>
      <x:c r="E14" s="122"/>
      <x:c r="F14" s="122"/>
      <x:c r="G14" s="122"/>
      <x:c r="H14" s="122"/>
      <x:c r="I14" s="122"/>
      <x:c r="J14" s="122"/>
      <x:c r="K14" s="122"/>
      <x:c r="L14" s="122"/>
    </x:row>
    <x:row r="15" ht="48" customHeight="1">
      <x:c r="A15" s="120" t="str">
        <x:v>理解符号与来源
工作表：来源与约定</x:v>
      </x:c>
      <x:c r="B15" s="120"/>
      <x:c r="C15" s="120"/>
      <x:c r="D15" s="118" t="str">
        <x:v>解释工序、①②③✕、冻结/可更新、主存/副本，以及表内数据的依据。</x:v>
      </x:c>
      <x:c r="E15" s="118"/>
      <x:c r="F15" s="118"/>
      <x:c r="G15" s="118"/>
      <x:c r="H15" s="118"/>
      <x:c r="I15" s="118"/>
      <x:c r="J15" s="118"/>
      <x:c r="K15" s="118"/>
      <x:c r="L15" s="118"/>
    </x:row>
    <x:row r="16" ht="22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 ht="27" customHeight="1">
      <x:c r="A17" s="115" t="str">
        <x:v>包内目录地图</x:v>
      </x:c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</x:row>
    <x:row r="18" ht="28" customHeight="1">
      <x:c r="A18" s="126" t="str">
        <x:v>目录</x:v>
      </x:c>
      <x:c r="B18" s="126"/>
      <x:c r="C18" s="126" t="str">
        <x:v>主要意义</x:v>
      </x:c>
      <x:c r="D18" s="126"/>
      <x:c r="E18" s="126"/>
      <x:c r="F18" s="126"/>
      <x:c r="G18" s="126" t="str">
        <x:v>关键文件 / 子目录</x:v>
      </x:c>
      <x:c r="H18" s="126"/>
      <x:c r="I18" s="126"/>
      <x:c r="J18" s="126" t="str">
        <x:v>文件数</x:v>
      </x:c>
      <x:c r="K18" s="126"/>
      <x:c r="L18" s="126" t="str">
        <x:v>明细行</x:v>
      </x:c>
    </x:row>
    <x:row r="19" ht="49" customHeight="1">
      <x:c r="A19" s="128" t="str">
        <x:v>./（根目录）</x:v>
      </x:c>
      <x:c r="B19" s="128"/>
      <x:c r="C19" s="118" t="str">
        <x:v>包入口、元信息、章节结构和交付辅助资料</x:v>
      </x:c>
      <x:c r="D19" s="118"/>
      <x:c r="E19" s="118"/>
      <x:c r="F19" s="118"/>
      <x:c r="G19" s="130" t="str">
        <x:v>manifest.yaml / outline.yaml</x:v>
      </x:c>
      <x:c r="H19" s="130"/>
      <x:c r="I19" s="130"/>
      <x:c r="J19" s="133" t="n">
        <x:f>SUM('30类产物总览'!N7,'30类产物总览'!N8,'30类产物总览'!N9,'30类产物总览'!N10)+G6</x:f>
        <x:v>7</x:v>
      </x:c>
      <x:c r="K19" s="133"/>
      <x:c r="L19" s="158" t="str">
        <x:v>7</x:v>
      </x:c>
    </x:row>
    <x:row r="20" ht="49" customHeight="1">
      <x:c r="A20" s="138" t="str">
        <x:v>source/</x:v>
      </x:c>
      <x:c r="B20" s="138"/>
      <x:c r="C20" s="122" t="str">
        <x:v>原始凭据、统一正文、定位映射和原表素材</x:v>
      </x:c>
      <x:c r="D20" s="122"/>
      <x:c r="E20" s="122"/>
      <x:c r="F20" s="122"/>
      <x:c r="G20" s="140" t="str">
        <x:v>original.docx / assets/</x:v>
      </x:c>
      <x:c r="H20" s="140"/>
      <x:c r="I20" s="140"/>
      <x:c r="J20" s="143" t="n">
        <x:f>SUM('30类产物总览'!N11,'30类产物总览'!N12,'30类产物总览'!N13,'30类产物总览'!N14)</x:f>
        <x:v>21</x:v>
      </x:c>
      <x:c r="K20" s="143"/>
      <x:c r="L20" s="160" t="str">
        <x:v>11</x:v>
      </x:c>
    </x:row>
    <x:row r="21" ht="49" customHeight="1">
      <x:c r="A21" s="128" t="str">
        <x:v>chunks/</x:v>
      </x:c>
      <x:c r="B21" s="128"/>
      <x:c r="C21" s="118" t="str">
        <x:v>原文切块、占位符骨架与向量归档</x:v>
      </x:c>
      <x:c r="D21" s="118"/>
      <x:c r="E21" s="118"/>
      <x:c r="F21" s="118"/>
      <x:c r="G21" s="130" t="str">
        <x:v>chunks.jsonl / skeletons.jsonl</x:v>
      </x:c>
      <x:c r="H21" s="130"/>
      <x:c r="I21" s="130"/>
      <x:c r="J21" s="133" t="n">
        <x:f>SUM('30类产物总览'!N15,'30类产物总览'!N16,'30类产物总览'!N17)</x:f>
        <x:v>3</x:v>
      </x:c>
      <x:c r="K21" s="133"/>
      <x:c r="L21" s="158" t="str">
        <x:v>32</x:v>
      </x:c>
    </x:row>
    <x:row r="22" ht="49" customHeight="1">
      <x:c r="A22" s="138" t="str">
        <x:v>graph/</x:v>
      </x:c>
      <x:c r="B22" s="138"/>
      <x:c r="C22" s="122" t="str">
        <x:v>事实、规则、关系、论断与校验定义</x:v>
      </x:c>
      <x:c r="D22" s="122"/>
      <x:c r="E22" s="122"/>
      <x:c r="F22" s="122"/>
      <x:c r="G22" s="140" t="str">
        <x:v>nodes.yaml / rules.yaml</x:v>
      </x:c>
      <x:c r="H22" s="140"/>
      <x:c r="I22" s="140"/>
      <x:c r="J22" s="143" t="n">
        <x:f>SUM('30类产物总览'!N18,'30类产物总览'!N19,'30类产物总览'!N20,'30类产物总览'!N21,'30类产物总览'!N22,'30类产物总览'!N23)</x:f>
        <x:v>6</x:v>
      </x:c>
      <x:c r="K22" s="143"/>
      <x:c r="L22" s="160" t="str">
        <x:v>35</x:v>
      </x:c>
    </x:row>
    <x:row r="23" ht="49" customHeight="1">
      <x:c r="A23" s="128" t="str">
        <x:v>evidence/</x:v>
      </x:c>
      <x:c r="B23" s="128"/>
      <x:c r="C23" s="118" t="str">
        <x:v>证据目录及可回链原文摘录</x:v>
      </x:c>
      <x:c r="D23" s="118"/>
      <x:c r="E23" s="118"/>
      <x:c r="F23" s="118"/>
      <x:c r="G23" s="130" t="str">
        <x:v>evidence.yaml / excerpts/</x:v>
      </x:c>
      <x:c r="H23" s="130"/>
      <x:c r="I23" s="130"/>
      <x:c r="J23" s="133" t="n">
        <x:f>SUM('30类产物总览'!N24,'30类产物总览'!N25)</x:f>
        <x:v>21</x:v>
      </x:c>
      <x:c r="K23" s="133"/>
      <x:c r="L23" s="158" t="str">
        <x:v>41</x:v>
      </x:c>
    </x:row>
    <x:row r="24" ht="49" customHeight="1">
      <x:c r="A24" s="138" t="str">
        <x:v>reasoning/</x:v>
      </x:c>
      <x:c r="B24" s="138"/>
      <x:c r="C24" s="122" t="str">
        <x:v>推演解释、判定依据及执行轨迹</x:v>
      </x:c>
      <x:c r="D24" s="122"/>
      <x:c r="E24" s="122"/>
      <x:c r="F24" s="122"/>
      <x:c r="G24" s="140" t="str">
        <x:v>derivation.yaml / trace.jsonl</x:v>
      </x:c>
      <x:c r="H24" s="140"/>
      <x:c r="I24" s="140"/>
      <x:c r="J24" s="143" t="n">
        <x:f>SUM('30类产物总览'!N26,'30类产物总览'!N27,'30类产物总览'!N28)</x:f>
        <x:v>3</x:v>
      </x:c>
      <x:c r="K24" s="143"/>
      <x:c r="L24" s="160" t="str">
        <x:v>62</x:v>
      </x:c>
    </x:row>
    <x:row r="25" ht="49" customHeight="1">
      <x:c r="A25" s="128" t="str">
        <x:v>quality/</x:v>
      </x:c>
      <x:c r="B25" s="128"/>
      <x:c r="C25" s="118" t="str">
        <x:v>冲突、资料缺口和闸门结果</x:v>
      </x:c>
      <x:c r="D25" s="118"/>
      <x:c r="E25" s="118"/>
      <x:c r="F25" s="118"/>
      <x:c r="G25" s="130" t="str">
        <x:v>conflicts.yaml / gate_report.yaml</x:v>
      </x:c>
      <x:c r="H25" s="130"/>
      <x:c r="I25" s="130"/>
      <x:c r="J25" s="133" t="n">
        <x:f>SUM('30类产物总览'!N29,'30类产物总览'!N30,'30类产物总览'!N31)</x:f>
        <x:v>3</x:v>
      </x:c>
      <x:c r="K25" s="133"/>
      <x:c r="L25" s="158" t="str">
        <x:v>65</x:v>
      </x:c>
    </x:row>
    <x:row r="26" ht="49" customHeight="1">
      <x:c r="A26" s="138" t="str">
        <x:v>style/</x:v>
      </x:c>
      <x:c r="B26" s="138"/>
      <x:c r="C26" s="122" t="str">
        <x:v>全文文风规则与每节写作模板</x:v>
      </x:c>
      <x:c r="D26" s="122"/>
      <x:c r="E26" s="122"/>
      <x:c r="F26" s="122"/>
      <x:c r="G26" s="140" t="str">
        <x:v>style_profile.yaml / section_templates/</x:v>
      </x:c>
      <x:c r="H26" s="140"/>
      <x:c r="I26" s="140"/>
      <x:c r="J26" s="143" t="n">
        <x:f>SUM('30类产物总览'!N32,'30类产物总览'!N33)</x:f>
        <x:v>50</x:v>
      </x:c>
      <x:c r="K26" s="143"/>
      <x:c r="L26" s="160" t="str">
        <x:v>68</x:v>
      </x:c>
    </x:row>
    <x:row r="27" ht="49" customHeight="1">
      <x:c r="A27" s="128" t="str">
        <x:v>index/</x:v>
      </x:c>
      <x:c r="B27" s="128"/>
      <x:c r="C27" s="118" t="str">
        <x:v>节点倒排、术语归一与语料匹配特征</x:v>
      </x:c>
      <x:c r="D27" s="118"/>
      <x:c r="E27" s="118"/>
      <x:c r="F27" s="118"/>
      <x:c r="G27" s="130" t="str">
        <x:v>node_index.json / signature.yaml</x:v>
      </x:c>
      <x:c r="H27" s="130"/>
      <x:c r="I27" s="130"/>
      <x:c r="J27" s="133" t="n">
        <x:f>SUM('30类产物总览'!N34,'30类产物总览'!N35,'30类产物总览'!N36)</x:f>
        <x:v>3</x:v>
      </x:c>
      <x:c r="K27" s="133"/>
      <x:c r="L27" s="158" t="str">
        <x:v>118</x:v>
      </x:c>
    </x:row>
    <x:row r="28" ht="22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 ht="25" customHeight="1">
      <x:c r="A29" s="148" t="str">
        <x:v>路径说明：压缩包内部没有额外套一层总文件夹。以能看到manifest.yaml的目录为“根目录”；例如graph/nodes.yaml就是根目录下graph文件夹中的nodes.yaml。</x:v>
      </x:c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48"/>
    </x:row>
    <x:row r="30" ht="25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48"/>
      <x:c r="K30" s="148"/>
      <x:c r="L30" s="148"/>
    </x:row>
    <x:row r="31" ht="22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 ht="25" customHeight="1">
      <x:c r="A32" s="148" t="str">
        <x:v>统计说明：规范中的30项是30类产物，不是固定30个文件。3个目录型产物在本包展开为18份CSV、20份摘录、49份模板。文件数及大小均由明细表公式汇总。</x:v>
      </x:c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48"/>
    </x:row>
    <x:row r="33" ht="25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48"/>
      <x:c r="K33" s="148"/>
      <x:c r="L33" s="148"/>
    </x:row>
    <x:row r="34" ht="22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</x:row>
    <x:row r="35" ht="29" customHeight="1">
      <x:c r="A35" s="17" t="str">
        <x:v>语料包版本：v2　｜　原业务报告版本：V1.0</x:v>
      </x:c>
      <x:c r="B35" s="17"/>
      <x:c r="C35" s="17"/>
      <x:c r="D35" s="17"/>
      <x:c r="E35" s="17"/>
      <x:c r="F35" s="17"/>
      <x:c r="G35" s="124" t="str">
        <x:v>来源详见工作表：来源与约定</x:v>
      </x:c>
      <x:c r="H35" s="124"/>
      <x:c r="I35" s="124"/>
      <x:c r="J35" s="124"/>
      <x:c r="K35" s="124"/>
      <x:c r="L35" s="124"/>
    </x:row>
    <x:row r="36" ht="22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</x:row>
    <x:row r="37" ht="25" customHeight="1">
      <x:c r="A37" s="148" t="str">
        <x:v>本表只做文件说明与目录核对，不重新评价项目，不补齐向量，不宣称已经完成数据库部署或字段级规范认证。</x:v>
      </x:c>
      <x:c r="B37" s="148"/>
      <x:c r="C37" s="148"/>
      <x:c r="D37" s="148"/>
      <x:c r="E37" s="148"/>
      <x:c r="F37" s="148"/>
      <x:c r="G37" s="148"/>
      <x:c r="H37" s="148"/>
      <x:c r="I37" s="148"/>
      <x:c r="J37" s="148"/>
      <x:c r="K37" s="148"/>
      <x:c r="L37" s="148"/>
    </x:row>
    <x:row r="38" ht="25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48"/>
      <x:c r="K38" s="148"/>
      <x:c r="L38" s="148"/>
    </x:row>
  </x:sheetData>
  <x:mergeCells>
    <x:mergeCell ref="A1:L2"/>
    <x:mergeCell ref="A3:L3"/>
    <x:mergeCell ref="A5:C5"/>
    <x:mergeCell ref="D5:F5"/>
    <x:mergeCell ref="G5:I5"/>
    <x:mergeCell ref="J5:L5"/>
    <x:mergeCell ref="A6:C7"/>
    <x:mergeCell ref="D6:F7"/>
    <x:mergeCell ref="G6:I7"/>
    <x:mergeCell ref="J6:L7"/>
    <x:mergeCell ref="A9:L10"/>
    <x:mergeCell ref="A12:L12"/>
    <x:mergeCell ref="A13:C13"/>
    <x:mergeCell ref="D13:L13"/>
    <x:mergeCell ref="A14:C14"/>
    <x:mergeCell ref="D14:L14"/>
    <x:mergeCell ref="A15:C15"/>
    <x:mergeCell ref="D15:L15"/>
    <x:mergeCell ref="A17:L17"/>
    <x:mergeCell ref="A18:B18"/>
    <x:mergeCell ref="C18:F18"/>
    <x:mergeCell ref="G18:I18"/>
    <x:mergeCell ref="J18:K18"/>
    <x:mergeCell ref="A19:B19"/>
    <x:mergeCell ref="C19:F19"/>
    <x:mergeCell ref="G19:I19"/>
    <x:mergeCell ref="J19:K19"/>
    <x:mergeCell ref="A20:B20"/>
    <x:mergeCell ref="C20:F20"/>
    <x:mergeCell ref="G20:I20"/>
    <x:mergeCell ref="J20:K20"/>
    <x:mergeCell ref="A21:B21"/>
    <x:mergeCell ref="C21:F21"/>
    <x:mergeCell ref="G21:I21"/>
    <x:mergeCell ref="J21:K21"/>
    <x:mergeCell ref="A22:B22"/>
    <x:mergeCell ref="C22:F22"/>
    <x:mergeCell ref="G22:I22"/>
    <x:mergeCell ref="J22:K22"/>
    <x:mergeCell ref="A23:B23"/>
    <x:mergeCell ref="C23:F23"/>
    <x:mergeCell ref="G23:I23"/>
    <x:mergeCell ref="J23:K23"/>
    <x:mergeCell ref="A24:B24"/>
    <x:mergeCell ref="C24:F24"/>
    <x:mergeCell ref="G24:I24"/>
    <x:mergeCell ref="J24:K24"/>
    <x:mergeCell ref="A25:B25"/>
    <x:mergeCell ref="C25:F25"/>
    <x:mergeCell ref="G25:I25"/>
    <x:mergeCell ref="J25:K25"/>
    <x:mergeCell ref="A26:B26"/>
    <x:mergeCell ref="C26:F26"/>
    <x:mergeCell ref="G26:I26"/>
    <x:mergeCell ref="J26:K26"/>
    <x:mergeCell ref="A27:B27"/>
    <x:mergeCell ref="C27:F27"/>
    <x:mergeCell ref="G27:I27"/>
    <x:mergeCell ref="J27:K27"/>
    <x:mergeCell ref="A29:L30"/>
    <x:mergeCell ref="A32:L33"/>
    <x:mergeCell ref="A35:F35"/>
    <x:mergeCell ref="G35:L35"/>
    <x:mergeCell ref="A37:L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6" hidden="0" customWidth="1"/>
    <x:col min="3" max="3" width="7" hidden="0" customWidth="1"/>
    <x:col min="4" max="4" width="11" hidden="0" customWidth="1"/>
    <x:col min="5" max="5" width="15" hidden="0" customWidth="1"/>
    <x:col min="6" max="6" width="24" hidden="0" customWidth="1"/>
    <x:col min="7" max="7" width="18" hidden="0" customWidth="1"/>
    <x:col min="8" max="8" width="9" hidden="0" customWidth="1"/>
    <x:col min="9" max="9" width="30" hidden="0" customWidth="1"/>
    <x:col min="10" max="10" width="26" hidden="0" customWidth="1"/>
    <x:col min="11" max="11" width="40" hidden="0" customWidth="1"/>
    <x:col min="12" max="12" width="40" hidden="0" customWidth="1"/>
    <x:col min="13" max="13" width="36" hidden="0" customWidth="1"/>
    <x:col min="14" max="14" width="11" hidden="0" customWidth="1"/>
    <x:col min="15" max="15" width="15" hidden="0" customWidth="1"/>
    <x:col min="16" max="16" width="40" hidden="0" customWidth="1"/>
    <x:col min="17" max="17" width="38" hidden="0" customWidth="1"/>
  </x:cols>
  <x:sheetData>
    <x:row r="1" ht="23" customHeight="1">
      <x:c r="A1" s="12" t="str">
        <x:v>30类产物总览｜原表字段 + 实际路径 + 文件意义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 ht="23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 ht="29" customHeight="1">
      <x:c r="A3" s="17" t="str">
        <x:v>A–I列沿用原规范；J列起为本压缩包实查信息。路径均相对解压根目录，主存/副本为设计声明，并非已部署服务。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</x:row>
    <x:row r="4" ht="27" customHeight="1">
      <x:c r="A4" s="22" t="str">
        <x:v>量级列保留规范示例；实际体积按文件字节统计，不按示例补齐。★ 第11项为向量空表，第30项仅有结构化特征。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</x:row>
    <x:row r="5" ht="22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</x:row>
    <x:row r="6" ht="34" customHeight="1">
      <x:c r="A6" s="32" t="str">
        <x:v>#</x:v>
      </x:c>
      <x:c r="B6" s="32" t="str">
        <x:v>文件</x:v>
      </x:c>
      <x:c r="C6" s="32" t="str">
        <x:v>工序</x:v>
      </x:c>
      <x:c r="D6" s="32" t="str">
        <x:v>格式</x:v>
      </x:c>
      <x:c r="E6" s="32" t="str">
        <x:v>量级</x:v>
      </x:c>
      <x:c r="F6" s="32" t="str">
        <x:v>主存</x:v>
      </x:c>
      <x:c r="G6" s="32" t="str">
        <x:v>副本</x:v>
      </x:c>
      <x:c r="H6" s="32" t="str">
        <x:v>可变</x:v>
      </x:c>
      <x:c r="I6" s="32" t="str">
        <x:v>Agent 形式</x:v>
      </x:c>
      <x:c r="J6" s="36" t="str">
        <x:v>所在文件夹</x:v>
      </x:c>
      <x:c r="K6" s="36" t="str">
        <x:v>实际位置（相对根目录）</x:v>
      </x:c>
      <x:c r="L6" s="36" t="str">
        <x:v>意义 / 存什么</x:v>
      </x:c>
      <x:c r="M6" s="36" t="str">
        <x:v>本包实际内容</x:v>
      </x:c>
      <x:c r="N6" s="36" t="str">
        <x:v>实际文件数</x:v>
      </x:c>
      <x:c r="O6" s="36" t="str">
        <x:v>实际大小（KiB）</x:v>
      </x:c>
      <x:c r="P6" s="36" t="str">
        <x:v>完成状态 / 使用边界</x:v>
      </x:c>
      <x:c r="Q6" s="36" t="str">
        <x:v>说明依据</x:v>
      </x:c>
    </x:row>
    <x:row r="7" ht="90" customHeight="1">
      <x:c r="A7" s="39" t="n">
        <x:v>1</x:v>
      </x:c>
      <x:c r="B7" s="5" t="str">
        <x:v>manifest.yaml</x:v>
      </x:c>
      <x:c r="C7" s="5" t="str">
        <x:v>7</x:v>
      </x:c>
      <x:c r="D7" s="5" t="str">
        <x:v>YAML</x:v>
      </x:c>
      <x:c r="E7" s="5" t="str">
        <x:v>~2KB</x:v>
      </x:c>
      <x:c r="F7" s="5" t="str">
        <x:v>对象存储</x:v>
      </x:c>
      <x:c r="G7" s="5" t="str">
        <x:v>PG corpus 表</x:v>
      </x:c>
      <x:c r="H7" s="5" t="str">
        <x:v>冻结</x:v>
      </x:c>
      <x:c r="I7" s="5" t="str">
        <x:v>① 注入（constraints 段）</x:v>
      </x:c>
      <x:c r="J7" s="5" t="str">
        <x:v>./（根目录）</x:v>
      </x:c>
      <x:c r="K7" s="42" t="str">
        <x:v>manifest.yaml</x:v>
      </x:c>
      <x:c r="L7" s="5" t="str">
        <x:v>语料包的总入口：登记语料身份、版本、指纹、文件清单、权限说明和写作硬约束；先确认读的是哪一版。</x:v>
      </x:c>
      <x:c r="M7" s="5" t="str">
        <x:v>包版本v2（替代v1）；30类产物清单；原文/规范化正文哈希及数量统计。</x:v>
      </x:c>
      <x:c r="N7" s="72" t="n">
        <x:f>COUNTIF('逐文件明细'!$B$7:$B$123,A7)</x:f>
        <x:v>1</x:v>
      </x:c>
      <x:c r="O7" s="73" t="n">
        <x:f>SUMIF('逐文件明细'!$B$7:$B$123,A7,'逐文件明细'!$G$7:$G$123)/'来源与约定'!$B$5</x:f>
        <x:v>24.3681640625</x:v>
      </x:c>
      <x:c r="P7" s="44" t="str">
        <x:v>已生成；ready_for_review。存储和权限仅声明，未部署运行服务。</x:v>
      </x:c>
      <x:c r="Q7" s="46" t="str">
        <x:v>S1 §1.2/1.5/2.2；S2 ZIP目录；S3 manifest.yaml</x:v>
      </x:c>
    </x:row>
    <x:row r="8" ht="90" customHeight="1">
      <x:c r="A8" s="49" t="n">
        <x:v>2</x:v>
      </x:c>
      <x:c r="B8" s="26" t="str">
        <x:v>meta.yaml</x:v>
      </x:c>
      <x:c r="C8" s="26" t="str">
        <x:v>2</x:v>
      </x:c>
      <x:c r="D8" s="26" t="str">
        <x:v>YAML</x:v>
      </x:c>
      <x:c r="E8" s="26" t="str">
        <x:v>~1KB</x:v>
      </x:c>
      <x:c r="F8" s="26" t="str">
        <x:v>PG corpus_meta</x:v>
      </x:c>
      <x:c r="G8" s="26" t="str">
        <x:v>对象存储</x:v>
      </x:c>
      <x:c r="H8" s="26" t="str">
        <x:v>冻结</x:v>
      </x:c>
      <x:c r="I8" s="26" t="str">
        <x:v>① 注入</x:v>
      </x:c>
      <x:c r="J8" s="26" t="str">
        <x:v>./（根目录）</x:v>
      </x:c>
      <x:c r="K8" s="52" t="str">
        <x:v>meta.yaml</x:v>
      </x:c>
      <x:c r="L8" s="26" t="str">
        <x:v>项目与语料的基本资料卡：记录行业、类型、规模、地域、编制信息和脱敏规则，供识别与匹配。</x:v>
      </x:c>
      <x:c r="M8" s="26" t="str">
        <x:v>电池托盘技改；项目编号CY-JG-2026-017；报告V1.0；2026-09-18基准。</x:v>
      </x:c>
      <x:c r="N8" s="74" t="n">
        <x:f>COUNTIF('逐文件明细'!$B$7:$B$123,A8)</x:f>
        <x:v>1</x:v>
      </x:c>
      <x:c r="O8" s="75" t="n">
        <x:f>SUMIF('逐文件明细'!$B$7:$B$123,A8,'逐文件明细'!$G$7:$G$123)/'来源与约定'!$B$5</x:f>
        <x:v>0.9423828125</x:v>
      </x:c>
      <x:c r="P8" s="44" t="str">
        <x:v>已生成；企业、地点及业务数据为虚构样本，不对应真实项目。</x:v>
      </x:c>
      <x:c r="Q8" s="54" t="str">
        <x:v>S1 §1.2/1.5/2.2；S2 ZIP目录；S3 meta.yaml</x:v>
      </x:c>
    </x:row>
    <x:row r="9" ht="90" customHeight="1">
      <x:c r="A9" s="39" t="n">
        <x:v>3</x:v>
      </x:c>
      <x:c r="B9" s="5" t="str">
        <x:v>provenance.yaml</x:v>
      </x:c>
      <x:c r="C9" s="5" t="str">
        <x:v>全程</x:v>
      </x:c>
      <x:c r="D9" s="5" t="str">
        <x:v>YAML</x:v>
      </x:c>
      <x:c r="E9" s="5" t="str">
        <x:v>~3KB</x:v>
      </x:c>
      <x:c r="F9" s="5" t="str">
        <x:v>PG corpus_provenance</x:v>
      </x:c>
      <x:c r="G9" s="5" t="str">
        <x:v>对象存储</x:v>
      </x:c>
      <x:c r="H9" s="5" t="str">
        <x:v>冻结</x:v>
      </x:c>
      <x:c r="I9" s="5" t="str">
        <x:v>✕</x:v>
      </x:c>
      <x:c r="J9" s="5" t="str">
        <x:v>./（根目录）</x:v>
      </x:c>
      <x:c r="K9" s="42" t="str">
        <x:v>provenance.yaml</x:v>
      </x:c>
      <x:c r="L9" s="5" t="str">
        <x:v>入库与转换的审计记录：说明输入文件、操作者、抽取器版本、校对情况，以及各产物的扩展元数据。</x:v>
      </x:c>
      <x:c r="M9" s="5" t="str">
        <x:v>原始文件指纹；输入/排除输入；抽取记录；原生格式转换与artifact_metadata。</x:v>
      </x:c>
      <x:c r="N9" s="72" t="n">
        <x:f>COUNTIF('逐文件明细'!$B$7:$B$123,A9)</x:f>
        <x:v>1</x:v>
      </x:c>
      <x:c r="O9" s="73" t="n">
        <x:f>SUMIF('逐文件明细'!$B$7:$B$123,A9,'逐文件明细'!$G$7:$G$123)/'来源与约定'!$B$5</x:f>
        <x:v>23.5390625</x:v>
      </x:c>
      <x:c r="P9" s="44" t="str">
        <x:v>已生成；未独立人工复核。原先JSON封装中的辅助信息保存在此。</x:v>
      </x:c>
      <x:c r="Q9" s="46" t="str">
        <x:v>S1 §1.2/1.5/2.2；S2 ZIP目录；S3 provenance.yaml</x:v>
      </x:c>
    </x:row>
    <x:row r="10" ht="90" customHeight="1">
      <x:c r="A10" s="49" t="n">
        <x:v>4</x:v>
      </x:c>
      <x:c r="B10" s="26" t="str">
        <x:v>outline.yaml</x:v>
      </x:c>
      <x:c r="C10" s="26" t="str">
        <x:v>2</x:v>
      </x:c>
      <x:c r="D10" s="26" t="str">
        <x:v>YAML</x:v>
      </x:c>
      <x:c r="E10" s="26" t="str">
        <x:v>5–20KB</x:v>
      </x:c>
      <x:c r="F10" s="26" t="str">
        <x:v>图库 :Section</x:v>
      </x:c>
      <x:c r="G10" s="26" t="str">
        <x:v>对象存储</x:v>
      </x:c>
      <x:c r="H10" s="26" t="str">
        <x:v>冻结</x:v>
      </x:c>
      <x:c r="I10" s="26" t="str">
        <x:v>① 注入</x:v>
      </x:c>
      <x:c r="J10" s="26" t="str">
        <x:v>./（根目录）</x:v>
      </x:c>
      <x:c r="K10" s="52" t="str">
        <x:v>outline.yaml</x:v>
      </x:c>
      <x:c r="L10" s="26" t="str">
        <x:v>整篇报告的章节导航：记录层级、节点和切块归属、页码与覆盖情况，回答每节写什么、位于哪里。</x:v>
      </x:c>
      <x:c r="M10" s="26" t="str">
        <x:v>49个章节/容器条目；含11个业务主章节、封面、阅读说明与附录。</x:v>
      </x:c>
      <x:c r="N10" s="74" t="n">
        <x:f>COUNTIF('逐文件明细'!$B$7:$B$123,A10)</x:f>
        <x:v>1</x:v>
      </x:c>
      <x:c r="O10" s="75" t="n">
        <x:f>SUMIF('逐文件明细'!$B$7:$B$123,A10,'逐文件明细'!$G$7:$G$123)/'来源与约定'!$B$5</x:f>
        <x:v>36.4970703125</x:v>
      </x:c>
      <x:c r="P10" s="44" t="str">
        <x:v>已生成；未给出的法定大纲、字数预算保留空值，不自行补造。</x:v>
      </x:c>
      <x:c r="Q10" s="54" t="str">
        <x:v>S1 §1.2/1.5/2.2；S2 ZIP目录；S3 outline.yaml</x:v>
      </x:c>
    </x:row>
    <x:row r="11" ht="90" customHeight="1">
      <x:c r="A11" s="39" t="n">
        <x:v>5</x:v>
      </x:c>
      <x:c r="B11" s="5" t="str">
        <x:v>source/original.docx</x:v>
      </x:c>
      <x:c r="C11" s="5" t="str">
        <x:v>0</x:v>
      </x:c>
      <x:c r="D11" s="5" t="str">
        <x:v>二进制</x:v>
      </x:c>
      <x:c r="E11" s="5" t="str">
        <x:v>1–50MB</x:v>
      </x:c>
      <x:c r="F11" s="5" t="str">
        <x:v>对象存储</x:v>
      </x:c>
      <x:c r="G11" s="5" t="str">
        <x:v>—</x:v>
      </x:c>
      <x:c r="H11" s="5" t="str">
        <x:v>冻结</x:v>
      </x:c>
      <x:c r="I11" s="5" t="str">
        <x:v>✕</x:v>
      </x:c>
      <x:c r="J11" s="5" t="str">
        <x:v>source/</x:v>
      </x:c>
      <x:c r="K11" s="42" t="str">
        <x:v>source/original.docx</x:v>
      </x:c>
      <x:c r="L11" s="5" t="str">
        <x:v>最原始的Word凭据：用于人工对照、追溯和归档，核对抽取内容是否忠于原件。</x:v>
      </x:c>
      <x:c r="M11" s="5" t="str">
        <x:v>真实DOCX原始字节；与业务原文指纹一致；19页内部评审稿。</x:v>
      </x:c>
      <x:c r="N11" s="72" t="n">
        <x:f>COUNTIF('逐文件明细'!$B$7:$B$123,A11)</x:f>
        <x:v>1</x:v>
      </x:c>
      <x:c r="O11" s="73" t="n">
        <x:f>SUMIF('逐文件明细'!$B$7:$B$123,A11,'逐文件明细'!$G$7:$G$123)/'来源与约定'!$B$5</x:f>
        <x:v>62.7080078125</x:v>
      </x:c>
      <x:c r="P11" s="44" t="str">
        <x:v>已归档；对写作Agent不可达。改新项目时不得回写原件。</x:v>
      </x:c>
      <x:c r="Q11" s="46" t="str">
        <x:v>S1 §1.2/1.5/2.2；S2 ZIP目录；S3 source/original.docx</x:v>
      </x:c>
    </x:row>
    <x:row r="12" ht="90" customHeight="1">
      <x:c r="A12" s="49" t="n">
        <x:v>6</x:v>
      </x:c>
      <x:c r="B12" s="26" t="str">
        <x:v>source/normalized.md</x:v>
      </x:c>
      <x:c r="C12" s="26" t="str">
        <x:v>1</x:v>
      </x:c>
      <x:c r="D12" s="26" t="str">
        <x:v>Markdown</x:v>
      </x:c>
      <x:c r="E12" s="26" t="str">
        <x:v>200KB–2MB</x:v>
      </x:c>
      <x:c r="F12" s="26" t="str">
        <x:v>对象存储</x:v>
      </x:c>
      <x:c r="G12" s="26" t="str">
        <x:v>—</x:v>
      </x:c>
      <x:c r="H12" s="26" t="str">
        <x:v>冻结</x:v>
      </x:c>
      <x:c r="I12" s="26" t="str">
        <x:v>✕</x:v>
      </x:c>
      <x:c r="J12" s="26" t="str">
        <x:v>source/</x:v>
      </x:c>
      <x:c r="K12" s="52" t="str">
        <x:v>source/normalized.md</x:v>
      </x:c>
      <x:c r="L12" s="26" t="str">
        <x:v>原文的统一Markdown文本：为切块、字符定位和摘录提供共同基准，保留原稿事实与数值。</x:v>
      </x:c>
      <x:c r="M12" s="26" t="str">
        <x:v>17,733个Unicode字符；由段落、标题、题注与表格组成。</x:v>
      </x:c>
      <x:c r="N12" s="74" t="n">
        <x:f>COUNTIF('逐文件明细'!$B$7:$B$123,A12)</x:f>
        <x:v>1</x:v>
      </x:c>
      <x:c r="O12" s="75" t="n">
        <x:f>SUMIF('逐文件明细'!$B$7:$B$123,A12,'逐文件明细'!$G$7:$G$123)/'来源与约定'!$B$5</x:f>
        <x:v>40.4482421875</x:v>
      </x:c>
      <x:c r="P12" s="44" t="str">
        <x:v>已生成；包含原值，不作为写作Agent的直接输入。</x:v>
      </x:c>
      <x:c r="Q12" s="54" t="str">
        <x:v>S1 §1.2/1.5/2.2；S2 ZIP目录；S3 source/normalized.md</x:v>
      </x:c>
    </x:row>
    <x:row r="13" ht="90" customHeight="1">
      <x:c r="A13" s="39" t="n">
        <x:v>7</x:v>
      </x:c>
      <x:c r="B13" s="5" t="str">
        <x:v>source/offset_map.json</x:v>
      </x:c>
      <x:c r="C13" s="5" t="str">
        <x:v>1</x:v>
      </x:c>
      <x:c r="D13" s="5" t="str">
        <x:v>JSON</x:v>
      </x:c>
      <x:c r="E13" s="5" t="str">
        <x:v>50–300KB</x:v>
      </x:c>
      <x:c r="F13" s="5" t="str">
        <x:v>对象存储</x:v>
      </x:c>
      <x:c r="G13" s="5" t="str">
        <x:v>—</x:v>
      </x:c>
      <x:c r="H13" s="5" t="str">
        <x:v>冻结</x:v>
      </x:c>
      <x:c r="I13" s="5" t="str">
        <x:v>✕</x:v>
      </x:c>
      <x:c r="J13" s="5" t="str">
        <x:v>source/</x:v>
      </x:c>
      <x:c r="K13" s="42" t="str">
        <x:v>source/offset_map.json</x:v>
      </x:c>
      <x:c r="L13" s="5" t="str">
        <x:v>定位对照表：把规范化文本字符区间映射回原Word页码、段落和表格单元格，便于证据回链。</x:v>
      </x:c>
      <x:c r="M13" s="5" t="str">
        <x:v>Unicode字符区间、Word XML定位与页码映射；供切块、节点、摘录引用。</x:v>
      </x:c>
      <x:c r="N13" s="72" t="n">
        <x:f>COUNTIF('逐文件明细'!$B$7:$B$123,A13)</x:f>
        <x:v>1</x:v>
      </x:c>
      <x:c r="O13" s="73" t="n">
        <x:f>SUMIF('逐文件明细'!$B$7:$B$123,A13,'逐文件明细'!$G$7:$G$123)/'来源与约定'!$B$5</x:f>
        <x:v>522.79296875</x:v>
      </x:c>
      <x:c r="P13" s="44" t="str">
        <x:v>已生成；偏移以当前normalized.md为基准，正文改动后不可直接沿用旧偏移。</x:v>
      </x:c>
      <x:c r="Q13" s="46" t="str">
        <x:v>S1 §1.2/1.5/2.2；S2 ZIP目录；S3 source/offset_map.json</x:v>
      </x:c>
    </x:row>
    <x:row r="14" ht="90" customHeight="1">
      <x:c r="A14" s="49" t="n">
        <x:v>8</x:v>
      </x:c>
      <x:c r="B14" s="26" t="str">
        <x:v>source/assets/*</x:v>
      </x:c>
      <x:c r="C14" s="26" t="str">
        <x:v>1</x:v>
      </x:c>
      <x:c r="D14" s="26" t="str">
        <x:v>png/csv</x:v>
      </x:c>
      <x:c r="E14" s="26" t="str">
        <x:v>不定</x:v>
      </x:c>
      <x:c r="F14" s="26" t="str">
        <x:v>对象存储</x:v>
      </x:c>
      <x:c r="G14" s="26" t="str">
        <x:v>—</x:v>
      </x:c>
      <x:c r="H14" s="26" t="str">
        <x:v>冻结</x:v>
      </x:c>
      <x:c r="I14" s="26" t="str">
        <x:v>✕</x:v>
      </x:c>
      <x:c r="J14" s="26" t="str">
        <x:v>source/assets/</x:v>
      </x:c>
      <x:c r="K14" s="52" t="str">
        <x:v>source/assets/T00.csv … T17.csv</x:v>
      </x:c>
      <x:c r="L14" s="26" t="str">
        <x:v>原文素材目录：独立保存图片和表格资产，便于表格复核与渲染层使用，而非把整个素材交给Agent。</x:v>
      </x:c>
      <x:c r="M14" s="26" t="str">
        <x:v>18个CSV：T00.csv—T17.csv；含目录表与业务表；本原件无图片素材。</x:v>
      </x:c>
      <x:c r="N14" s="74" t="n">
        <x:f>COUNTIF('逐文件明细'!$B$7:$B$123,A14)</x:f>
        <x:v>18</x:v>
      </x:c>
      <x:c r="O14" s="75" t="n">
        <x:f>SUMIF('逐文件明细'!$B$7:$B$123,A14,'逐文件明细'!$G$7:$G$123)/'来源与约定'!$B$5</x:f>
        <x:v>8.7490234375</x:v>
      </x:c>
      <x:c r="P14" s="44" t="str">
        <x:v>已生成；18张原始表格，不是18张新增图表。每个CSV保留原表矩阵。</x:v>
      </x:c>
      <x:c r="Q14" s="54" t="str">
        <x:v>S1 §1.2/1.5/2.2；S2 ZIP目录；S3 source/assets/*</x:v>
      </x:c>
    </x:row>
    <x:row r="15" ht="90" customHeight="1">
      <x:c r="A15" s="39" t="n">
        <x:v>9</x:v>
      </x:c>
      <x:c r="B15" s="5" t="str">
        <x:v>chunks/chunks.jsonl</x:v>
      </x:c>
      <x:c r="C15" s="5" t="str">
        <x:v>3</x:v>
      </x:c>
      <x:c r="D15" s="5" t="str">
        <x:v>JSONL</x:v>
      </x:c>
      <x:c r="E15" s="5" t="str">
        <x:v>100KB–1MB</x:v>
      </x:c>
      <x:c r="F15" s="5" t="str">
        <x:v>对象存储</x:v>
      </x:c>
      <x:c r="G15" s="5" t="str">
        <x:v>—</x:v>
      </x:c>
      <x:c r="H15" s="5" t="str">
        <x:v>冻结</x:v>
      </x:c>
      <x:c r="I15" s="5" t="str">
        <x:v>✕（含原值）</x:v>
      </x:c>
      <x:c r="J15" s="5" t="str">
        <x:v>chunks/</x:v>
      </x:c>
      <x:c r="K15" s="42" t="str">
        <x:v>chunks/chunks.jsonl</x:v>
      </x:c>
      <x:c r="L15" s="5" t="str">
        <x:v>带原始数值的语义切块：保留文本、位置、章节和绑定信息，作为抽取与追溯的内部原始块。</x:v>
      </x:c>
      <x:c r="M15" s="5" t="str">
        <x:v>194条JSONL记录；每个非空段落、标题、题注或完整表格独立成块。</x:v>
      </x:c>
      <x:c r="N15" s="72" t="n">
        <x:f>COUNTIF('逐文件明细'!$B$7:$B$123,A15)</x:f>
        <x:v>1</x:v>
      </x:c>
      <x:c r="O15" s="73" t="n">
        <x:f>SUMIF('逐文件明细'!$B$7:$B$123,A15,'逐文件明细'!$G$7:$G$123)/'来源与约定'!$B$5</x:f>
        <x:v>141.6533203125</x:v>
      </x:c>
      <x:c r="P15" s="44" t="str">
        <x:v>已生成；含原值。规范不允许写作Agent直接获取此文件。</x:v>
      </x:c>
      <x:c r="Q15" s="46" t="str">
        <x:v>S1 §1.2/1.5/2.2；S2 ZIP目录；S3 chunks/chunks.jsonl</x:v>
      </x:c>
    </x:row>
    <x:row r="16" ht="90" customHeight="1">
      <x:c r="A16" s="49" t="n">
        <x:v>10</x:v>
      </x:c>
      <x:c r="B16" s="26" t="str">
        <x:v>chunks/skeletons.jsonl</x:v>
      </x:c>
      <x:c r="C16" s="26" t="str">
        <x:v>7</x:v>
      </x:c>
      <x:c r="D16" s="26" t="str">
        <x:v>JSONL</x:v>
      </x:c>
      <x:c r="E16" s="26" t="str">
        <x:v>80KB–800KB</x:v>
      </x:c>
      <x:c r="F16" s="26" t="str">
        <x:v>对象存储</x:v>
      </x:c>
      <x:c r="G16" s="26" t="str">
        <x:v>—</x:v>
      </x:c>
      <x:c r="H16" s="26" t="str">
        <x:v>冻结</x:v>
      </x:c>
      <x:c r="I16" s="26" t="str">
        <x:v>② corpus_get_chunk</x:v>
      </x:c>
      <x:c r="J16" s="26" t="str">
        <x:v>chunks/</x:v>
      </x:c>
      <x:c r="K16" s="52" t="str">
        <x:v>chunks/skeletons.jsonl</x:v>
      </x:c>
      <x:c r="L16" s="26" t="str">
        <x:v>写作使用的占位符骨架：把已绑定数值替换为{{node:Nxxx}}，保存槽位和格式，按需读取后填本项目值。</x:v>
      </x:c>
      <x:c r="M16" s="26" t="str">
        <x:v>194条JSONL；含node_slots、格式和位置；对应630处原文绑定。</x:v>
      </x:c>
      <x:c r="N16" s="74" t="n">
        <x:f>COUNTIF('逐文件明细'!$B$7:$B$123,A16)</x:f>
        <x:v>1</x:v>
      </x:c>
      <x:c r="O16" s="75" t="n">
        <x:f>SUMIF('逐文件明细'!$B$7:$B$123,A16,'逐文件明细'!$G$7:$G$123)/'来源与约定'!$B$5</x:f>
        <x:v>281.751953125</x:v>
      </x:c>
      <x:c r="P16" s="44" t="str">
        <x:v>已生成；数值骨架不等于完整身份脱敏或已实施权限系统。</x:v>
      </x:c>
      <x:c r="Q16" s="54" t="str">
        <x:v>S1 §1.2/1.5/2.2；S2 ZIP目录；S3 chunks/skeletons.jsonl</x:v>
      </x:c>
    </x:row>
    <x:row r="17" ht="90" customHeight="1">
      <x:c r="A17" s="39" t="n">
        <x:v>11</x:v>
      </x:c>
      <x:c r="B17" s="5" t="str">
        <x:v>chunks/embeddings.parquet</x:v>
      </x:c>
      <x:c r="C17" s="5" t="str">
        <x:v>3</x:v>
      </x:c>
      <x:c r="D17" s="5" t="str">
        <x:v>Parquet</x:v>
      </x:c>
      <x:c r="E17" s="5" t="str">
        <x:v>2–20MB</x:v>
      </x:c>
      <x:c r="F17" s="5" t="str">
        <x:v>向量库</x:v>
      </x:c>
      <x:c r="G17" s="5" t="str">
        <x:v>对象存储</x:v>
      </x:c>
      <x:c r="H17" s="5" t="str">
        <x:v>冻结</x:v>
      </x:c>
      <x:c r="I17" s="5" t="str">
        <x:v>✕</x:v>
      </x:c>
      <x:c r="J17" s="5" t="str">
        <x:v>chunks/</x:v>
      </x:c>
      <x:c r="K17" s="42" t="str">
        <x:v>chunks/embeddings.parquet</x:v>
      </x:c>
      <x:c r="L17" s="5" t="str">
        <x:v>切块语义向量的归档副本；规范用于检索服务内部，实际向量主本应位于向量库。</x:v>
      </x:c>
      <x:c r="M17" s="5" t="str">
        <x:v>Parquet零行空表；有字段定义和not_generated元数据；向量数量为0。</x:v>
      </x:c>
      <x:c r="N17" s="72" t="n">
        <x:f>COUNTIF('逐文件明细'!$B$7:$B$123,A17)</x:f>
        <x:v>1</x:v>
      </x:c>
      <x:c r="O17" s="73" t="n">
        <x:f>SUMIF('逐文件明细'!$B$7:$B$123,A17,'逐文件明细'!$G$7:$G$123)/'来源与约定'!$B$5</x:f>
        <x:v>2.189453125</x:v>
      </x:c>
      <x:c r="P17" s="60" t="str">
        <x:v>未生成真实向量；不得用于真实语义相似度检索，不是计算完成的向量文件。</x:v>
      </x:c>
      <x:c r="Q17" s="46" t="str">
        <x:v>S1 §1.2/1.5/2.2；S2 ZIP目录；S3 chunks/embeddings.parquet</x:v>
      </x:c>
    </x:row>
    <x:row r="18" ht="90" customHeight="1">
      <x:c r="A18" s="49" t="n">
        <x:v>12</x:v>
      </x:c>
      <x:c r="B18" s="26" t="str">
        <x:v>graph/nodes.yaml</x:v>
      </x:c>
      <x:c r="C18" s="26" t="str">
        <x:v>4</x:v>
      </x:c>
      <x:c r="D18" s="26" t="str">
        <x:v>YAML</x:v>
      </x:c>
      <x:c r="E18" s="26" t="str">
        <x:v>20–200KB</x:v>
      </x:c>
      <x:c r="F18" s="26" t="str">
        <x:v>图库 :Node</x:v>
      </x:c>
      <x:c r="G18" s="26" t="str">
        <x:v>对象存储</x:v>
      </x:c>
      <x:c r="H18" s="26" t="str">
        <x:v>冻结</x:v>
      </x:c>
      <x:c r="I18" s="26" t="str">
        <x:v>② graph_get_node/graph_query</x:v>
      </x:c>
      <x:c r="J18" s="26" t="str">
        <x:v>graph/</x:v>
      </x:c>
      <x:c r="K18" s="52" t="str">
        <x:v>graph/nodes.yaml</x:v>
      </x:c>
      <x:c r="L18" s="26" t="str">
        <x:v>业务事实和判断的节点台账：保存名称、值、单位、口径、期间、来源、状态及出现位置。</x:v>
      </x:c>
      <x:c r="M18" s="26" t="str">
        <x:v>339节点：201业务/语义、98编号/引用、40其他元数据或格式节点。</x:v>
      </x:c>
      <x:c r="N18" s="74" t="n">
        <x:f>COUNTIF('逐文件明细'!$B$7:$B$123,A18)</x:f>
        <x:v>1</x:v>
      </x:c>
      <x:c r="O18" s="75" t="n">
        <x:f>SUMIF('逐文件明细'!$B$7:$B$123,A18,'逐文件明细'!$G$7:$G$123)/'来源与约定'!$B$5</x:f>
        <x:v>492.9921875</x:v>
      </x:c>
      <x:c r="P18" s="44" t="str">
        <x:v>已生成；不是339个独立业务指标。语料值只用于基线，不直接继承到新项目。</x:v>
      </x:c>
      <x:c r="Q18" s="54" t="str">
        <x:v>S1 §1.2/1.5/2.2；S2 ZIP目录；S3 graph/nodes.yaml</x:v>
      </x:c>
    </x:row>
    <x:row r="19" ht="90" customHeight="1">
      <x:c r="A19" s="39" t="n">
        <x:v>13</x:v>
      </x:c>
      <x:c r="B19" s="5" t="str">
        <x:v>graph/rules.yaml</x:v>
      </x:c>
      <x:c r="C19" s="5" t="str">
        <x:v>4</x:v>
      </x:c>
      <x:c r="D19" s="5" t="str">
        <x:v>YAML</x:v>
      </x:c>
      <x:c r="E19" s="5" t="str">
        <x:v>10–80KB</x:v>
      </x:c>
      <x:c r="F19" s="5" t="str">
        <x:v>图库 :Rule</x:v>
      </x:c>
      <x:c r="G19" s="5" t="str">
        <x:v>对象存储</x:v>
      </x:c>
      <x:c r="H19" s="5" t="str">
        <x:v>冻结</x:v>
      </x:c>
      <x:c r="I19" s="5" t="str">
        <x:v>② graph_explain</x:v>
      </x:c>
      <x:c r="J19" s="5" t="str">
        <x:v>graph/</x:v>
      </x:c>
      <x:c r="K19" s="42" t="str">
        <x:v>graph/rules.yaml</x:v>
      </x:c>
      <x:c r="L19" s="5" t="str">
        <x:v>可执行推导与判定规则：写明目标节点、表达式、依赖、缺值守卫和前提，回答结果怎样算出来。</x:v>
      </x:c>
      <x:c r="M19" s="5" t="str">
        <x:v>74条规则：62计算、12确定性判定；含完整精度与适用条件。</x:v>
      </x:c>
      <x:c r="N19" s="72" t="n">
        <x:f>COUNTIF('逐文件明细'!$B$7:$B$123,A19)</x:f>
        <x:v>1</x:v>
      </x:c>
      <x:c r="O19" s="73" t="n">
        <x:f>SUMIF('逐文件明细'!$B$7:$B$123,A19,'逐文件明细'!$G$7:$G$123)/'来源与约定'!$B$5</x:f>
        <x:v>137.2197265625</x:v>
      </x:c>
      <x:c r="P19" s="44" t="str">
        <x:v>已生成；存在未知输入或前提不成立时，不得按0或强套公式计算。</x:v>
      </x:c>
      <x:c r="Q19" s="46" t="str">
        <x:v>S1 §1.2/1.5/2.2；S2 ZIP目录；S3 graph/rules.yaml</x:v>
      </x:c>
    </x:row>
    <x:row r="20" ht="90" customHeight="1">
      <x:c r="A20" s="49" t="n">
        <x:v>14</x:v>
      </x:c>
      <x:c r="B20" s="26" t="str">
        <x:v>graph/relations.yaml</x:v>
      </x:c>
      <x:c r="C20" s="26" t="str">
        <x:v>4</x:v>
      </x:c>
      <x:c r="D20" s="26" t="str">
        <x:v>YAML</x:v>
      </x:c>
      <x:c r="E20" s="26" t="str">
        <x:v>30–300KB</x:v>
      </x:c>
      <x:c r="F20" s="26" t="str">
        <x:v>图库 边</x:v>
      </x:c>
      <x:c r="G20" s="26" t="str">
        <x:v>对象存储</x:v>
      </x:c>
      <x:c r="H20" s="26" t="str">
        <x:v>冻结</x:v>
      </x:c>
      <x:c r="I20" s="26" t="str">
        <x:v>② graph_impact</x:v>
      </x:c>
      <x:c r="J20" s="26" t="str">
        <x:v>graph/</x:v>
      </x:c>
      <x:c r="K20" s="52" t="str">
        <x:v>graph/relations.yaml</x:v>
      </x:c>
      <x:c r="L20" s="26" t="str">
        <x:v>节点、论断、证据和正文之间的关系表：记录依赖与传播动作，用来找出改一个值会牵动哪里。</x:v>
      </x:c>
      <x:c r="M20" s="26" t="str">
        <x:v>1,666条关系；涵盖十类语义关系及传播方向、动作。</x:v>
      </x:c>
      <x:c r="N20" s="74" t="n">
        <x:f>COUNTIF('逐文件明细'!$B$7:$B$123,A20)</x:f>
        <x:v>1</x:v>
      </x:c>
      <x:c r="O20" s="75" t="n">
        <x:f>SUMIF('逐文件明细'!$B$7:$B$123,A20,'逐文件明细'!$G$7:$G$123)/'来源与约定'!$B$5</x:f>
        <x:v>532.91796875</x:v>
      </x:c>
      <x:c r="P20" s="44" t="str">
        <x:v>已生成；这是离线关系快照，不等于图数据库传播服务已部署。</x:v>
      </x:c>
      <x:c r="Q20" s="54" t="str">
        <x:v>S1 §1.2/1.5/2.2；S2 ZIP目录；S3 graph/relations.yaml</x:v>
      </x:c>
    </x:row>
    <x:row r="21" ht="90" customHeight="1">
      <x:c r="A21" s="39" t="n">
        <x:v>15</x:v>
      </x:c>
      <x:c r="B21" s="5" t="str">
        <x:v>graph/claims.yaml</x:v>
      </x:c>
      <x:c r="C21" s="5" t="str">
        <x:v>4</x:v>
      </x:c>
      <x:c r="D21" s="5" t="str">
        <x:v>YAML</x:v>
      </x:c>
      <x:c r="E21" s="5" t="str">
        <x:v>10–60KB</x:v>
      </x:c>
      <x:c r="F21" s="5" t="str">
        <x:v>图库 :Claim</x:v>
      </x:c>
      <x:c r="G21" s="5" t="str">
        <x:v>对象存储</x:v>
      </x:c>
      <x:c r="H21" s="5" t="str">
        <x:v>冻结</x:v>
      </x:c>
      <x:c r="I21" s="5" t="str">
        <x:v>②+③</x:v>
      </x:c>
      <x:c r="J21" s="5" t="str">
        <x:v>graph/</x:v>
      </x:c>
      <x:c r="K21" s="42" t="str">
        <x:v>graph/claims.yaml</x:v>
      </x:c>
      <x:c r="L21" s="5" t="str">
        <x:v>结论与论证的结构化条目：保留原文论断、支撑节点、引用依据、强度及复核条件。</x:v>
      </x:c>
      <x:c r="M21" s="5" t="str">
        <x:v>48条论断；连接产能、投资、资金、回收与实施前置条件。</x:v>
      </x:c>
      <x:c r="N21" s="72" t="n">
        <x:f>COUNTIF('逐文件明细'!$B$7:$B$123,A21)</x:f>
        <x:v>1</x:v>
      </x:c>
      <x:c r="O21" s="73" t="n">
        <x:f>SUMIF('逐文件明细'!$B$7:$B$123,A21,'逐文件明细'!$G$7:$G$123)/'来源与约定'!$B$5</x:f>
        <x:v>50.7236328125</x:v>
      </x:c>
      <x:c r="P21" s="44" t="str">
        <x:v>已生成；指标达标不能自动推成订单落实、融资落实或无条件开工。</x:v>
      </x:c>
      <x:c r="Q21" s="46" t="str">
        <x:v>S1 §1.2/1.5/2.2；S2 ZIP目录；S3 graph/claims.yaml</x:v>
      </x:c>
    </x:row>
    <x:row r="22" ht="90" customHeight="1">
      <x:c r="A22" s="49" t="n">
        <x:v>16</x:v>
      </x:c>
      <x:c r="B22" s="26" t="str">
        <x:v>graph/invariants.yaml</x:v>
      </x:c>
      <x:c r="C22" s="26" t="str">
        <x:v>6</x:v>
      </x:c>
      <x:c r="D22" s="26" t="str">
        <x:v>YAML</x:v>
      </x:c>
      <x:c r="E22" s="26" t="str">
        <x:v>~3KB</x:v>
      </x:c>
      <x:c r="F22" s="26" t="str">
        <x:v>图库 :Invariant</x:v>
      </x:c>
      <x:c r="G22" s="26" t="str">
        <x:v>对象存储</x:v>
      </x:c>
      <x:c r="H22" s="26" t="str">
        <x:v>冻结</x:v>
      </x:c>
      <x:c r="I22" s="26" t="str">
        <x:v>② gate_check</x:v>
      </x:c>
      <x:c r="J22" s="26" t="str">
        <x:v>graph/</x:v>
      </x:c>
      <x:c r="K22" s="52" t="str">
        <x:v>graph/invariants.yaml</x:v>
      </x:c>
      <x:c r="L22" s="26" t="str">
        <x:v>质量校验规则集：定义总分一致、缺值处理、数值绑定等必须保持的条件，供闸门校验使用。</x:v>
      </x:c>
      <x:c r="M22" s="26" t="str">
        <x:v>18项不变式；包含来源哈希、原文回填、面积汇总、投资和资金等检查。</x:v>
      </x:c>
      <x:c r="N22" s="74" t="n">
        <x:f>COUNTIF('逐文件明细'!$B$7:$B$123,A22)</x:f>
        <x:v>1</x:v>
      </x:c>
      <x:c r="O22" s="75" t="n">
        <x:f>SUMIF('逐文件明细'!$B$7:$B$123,A22,'逐文件明细'!$G$7:$G$123)/'来源与约定'!$B$5</x:f>
        <x:v>9.6630859375</x:v>
      </x:c>
      <x:c r="P22" s="44" t="str">
        <x:v>已生成；保存校验定义，不是一次校验结果；结果看gate_report.yaml。</x:v>
      </x:c>
      <x:c r="Q22" s="54" t="str">
        <x:v>S1 §1.2/1.5/2.2；S2 ZIP目录；S3 graph/invariants.yaml</x:v>
      </x:c>
    </x:row>
    <x:row r="23" ht="90" customHeight="1">
      <x:c r="A23" s="39" t="n">
        <x:v>17</x:v>
      </x:c>
      <x:c r="B23" s="5" t="str">
        <x:v>graph/graph.yaml</x:v>
      </x:c>
      <x:c r="C23" s="5" t="str">
        <x:v>4</x:v>
      </x:c>
      <x:c r="D23" s="5" t="str">
        <x:v>YAML</x:v>
      </x:c>
      <x:c r="E23" s="5" t="str">
        <x:v>80–600KB</x:v>
      </x:c>
      <x:c r="F23" s="5" t="str">
        <x:v>对象存储</x:v>
      </x:c>
      <x:c r="G23" s="5" t="str">
        <x:v>—</x:v>
      </x:c>
      <x:c r="H23" s="5" t="str">
        <x:v>冻结</x:v>
      </x:c>
      <x:c r="I23" s="5" t="str">
        <x:v>✕（整包不给）</x:v>
      </x:c>
      <x:c r="J23" s="5" t="str">
        <x:v>graph/</x:v>
      </x:c>
      <x:c r="K23" s="42" t="str">
        <x:v>graph/graph.yaml</x:v>
      </x:c>
      <x:c r="L23" s="5" t="str">
        <x:v>将节点、规则、关系等合并到一份图谱快照，供引擎单文件加载、归档、导入导出或迁移。</x:v>
      </x:c>
      <x:c r="M23" s="5" t="str">
        <x:v>合并节点、规则、关系、论断、不变式、证据轻节点、章节、切块、冲突和缺口。</x:v>
      </x:c>
      <x:c r="N23" s="72" t="n">
        <x:f>COUNTIF('逐文件明细'!$B$7:$B$123,A23)</x:f>
        <x:v>1</x:v>
      </x:c>
      <x:c r="O23" s="73" t="n">
        <x:f>SUMIF('逐文件明细'!$B$7:$B$123,A23,'逐文件明细'!$G$7:$G$123)/'来源与约定'!$B$5</x:f>
        <x:v>1292.8447265625</x:v>
      </x:c>
      <x:c r="P23" s="44" t="str">
        <x:v>已生成；与分项图文件存在快照重复，不是应整包喂给写作Agent的上下文。</x:v>
      </x:c>
      <x:c r="Q23" s="46" t="str">
        <x:v>S1 §1.2/1.5/2.2；S2 ZIP目录；S3 graph/graph.yaml</x:v>
      </x:c>
    </x:row>
    <x:row r="24" ht="90" customHeight="1">
      <x:c r="A24" s="49" t="n">
        <x:v>18</x:v>
      </x:c>
      <x:c r="B24" s="26" t="str">
        <x:v>evidence/evidence.yaml</x:v>
      </x:c>
      <x:c r="C24" s="26" t="str">
        <x:v>4</x:v>
      </x:c>
      <x:c r="D24" s="26" t="str">
        <x:v>YAML</x:v>
      </x:c>
      <x:c r="E24" s="26" t="str">
        <x:v>5–40KB</x:v>
      </x:c>
      <x:c r="F24" s="26" t="str">
        <x:v>PG evidence</x:v>
      </x:c>
      <x:c r="G24" s="26" t="str">
        <x:v>对象存储</x:v>
      </x:c>
      <x:c r="H24" s="26" t="str">
        <x:v>可更新</x:v>
      </x:c>
      <x:c r="I24" s="26" t="str">
        <x:v>② evidence_get</x:v>
      </x:c>
      <x:c r="J24" s="26" t="str">
        <x:v>evidence/</x:v>
      </x:c>
      <x:c r="K24" s="52" t="str">
        <x:v>evidence/evidence.yaml</x:v>
      </x:c>
      <x:c r="L24" s="26" t="str">
        <x:v>证据目录与状态台账：记录出处、版本、日期、可信边界和摘录路径，回答每项事实依据何在。</x:v>
      </x:c>
      <x:c r="M24" s="26" t="str">
        <x:v>12个证据入口：业务原文1项＋内嵌内部资料11项；指向20段摘录。</x:v>
      </x:c>
      <x:c r="N24" s="74" t="n">
        <x:f>COUNTIF('逐文件明细'!$B$7:$B$123,A24)</x:f>
        <x:v>1</x:v>
      </x:c>
      <x:c r="O24" s="75" t="n">
        <x:f>SUMIF('逐文件明细'!$B$7:$B$123,A24,'逐文件明细'!$G$7:$G$123)/'来源与约定'!$B$5</x:f>
        <x:v>24.3955078125</x:v>
      </x:c>
      <x:c r="P24" s="44" t="str">
        <x:v>已生成；仅业务原文完整提供，11项内部资料不等于取得11份完整原件。</x:v>
      </x:c>
      <x:c r="Q24" s="54" t="str">
        <x:v>S1 §1.2/1.5/2.2；S2 ZIP目录；S3 evidence/evidence.yaml</x:v>
      </x:c>
    </x:row>
    <x:row r="25" ht="90" customHeight="1">
      <x:c r="A25" s="39" t="n">
        <x:v>19</x:v>
      </x:c>
      <x:c r="B25" s="5" t="str">
        <x:v>evidence/excerpts/*.md</x:v>
      </x:c>
      <x:c r="C25" s="5" t="str">
        <x:v>4</x:v>
      </x:c>
      <x:c r="D25" s="5" t="str">
        <x:v>Markdown</x:v>
      </x:c>
      <x:c r="E25" s="5" t="str">
        <x:v>每条 1–5KB</x:v>
      </x:c>
      <x:c r="F25" s="5" t="str">
        <x:v>对象存储</x:v>
      </x:c>
      <x:c r="G25" s="5" t="str">
        <x:v>—</x:v>
      </x:c>
      <x:c r="H25" s="5" t="str">
        <x:v>冻结</x:v>
      </x:c>
      <x:c r="I25" s="5" t="str">
        <x:v>② evidence_get(with_excerpt)</x:v>
      </x:c>
      <x:c r="J25" s="5" t="str">
        <x:v>evidence/excerpts/</x:v>
      </x:c>
      <x:c r="K25" s="42" t="str">
        <x:v>evidence/excerpts/（20个.md；见逐文件明细）</x:v>
      </x:c>
      <x:c r="L25" s="5" t="str">
        <x:v>可回链的证据原文片段：与规范化正文字符区间对应，支持按需核实引用，而不是重写的摘要。</x:v>
      </x:c>
      <x:c r="M25" s="5" t="str">
        <x:v>20个EX-*.md文件；来自附录关键资料摘录；路径登记于evidence.yaml。</x:v>
      </x:c>
      <x:c r="N25" s="72" t="n">
        <x:f>COUNTIF('逐文件明细'!$B$7:$B$123,A25)</x:f>
        <x:v>20</x:v>
      </x:c>
      <x:c r="O25" s="73" t="n">
        <x:f>SUMIF('逐文件明细'!$B$7:$B$123,A25,'逐文件明细'!$G$7:$G$123)/'来源与约定'!$B$5</x:f>
        <x:v>5.9208984375</x:v>
      </x:c>
      <x:c r="P25" s="44" t="str">
        <x:v>已生成；摘录冻结。新情景改值应复核引用，不能把历史摘录一起改掉。</x:v>
      </x:c>
      <x:c r="Q25" s="46" t="str">
        <x:v>S1 §1.2/1.5/2.2；S2 ZIP目录；S3 evidence/excerpts/*.md</x:v>
      </x:c>
    </x:row>
    <x:row r="26" ht="90" customHeight="1">
      <x:c r="A26" s="49" t="n">
        <x:v>20</x:v>
      </x:c>
      <x:c r="B26" s="26" t="str">
        <x:v>reasoning/derivation.yaml</x:v>
      </x:c>
      <x:c r="C26" s="26" t="str">
        <x:v>5</x:v>
      </x:c>
      <x:c r="D26" s="26" t="str">
        <x:v>YAML</x:v>
      </x:c>
      <x:c r="E26" s="26" t="str">
        <x:v>20–150KB</x:v>
      </x:c>
      <x:c r="F26" s="26" t="str">
        <x:v>图库（链可由边重建）+ 对象存储</x:v>
      </x:c>
      <x:c r="G26" s="26" t="str">
        <x:v>—</x:v>
      </x:c>
      <x:c r="H26" s="26" t="str">
        <x:v>冻结</x:v>
      </x:c>
      <x:c r="I26" s="26" t="str">
        <x:v>② graph_explain</x:v>
      </x:c>
      <x:c r="J26" s="26" t="str">
        <x:v>reasoning/</x:v>
      </x:c>
      <x:c r="K26" s="52" t="str">
        <x:v>reasoning/derivation.yaml</x:v>
      </x:c>
      <x:c r="L26" s="26" t="str">
        <x:v>逐个结果的推演链与中文解释：列明计算路径、规则和上下游关系，供graph_explain解释结论。</x:v>
      </x:c>
      <x:c r="M26" s="26" t="str">
        <x:v>77条推演说明；记录chain及narrative_zh等内容。</x:v>
      </x:c>
      <x:c r="N26" s="74" t="n">
        <x:f>COUNTIF('逐文件明细'!$B$7:$B$123,A26)</x:f>
        <x:v>1</x:v>
      </x:c>
      <x:c r="O26" s="75" t="n">
        <x:f>SUMIF('逐文件明细'!$B$7:$B$123,A26,'逐文件明细'!$G$7:$G$123)/'来源与约定'!$B$5</x:f>
        <x:v>258.033203125</x:v>
      </x:c>
      <x:c r="P26" s="44" t="str">
        <x:v>已生成；推演说明数量不等于可执行规则数量，实际规则为74条。</x:v>
      </x:c>
      <x:c r="Q26" s="54" t="str">
        <x:v>S1 §1.2/1.5/2.2；S2 ZIP目录；S3 reasoning/derivation.yaml</x:v>
      </x:c>
    </x:row>
    <x:row r="27" ht="90" customHeight="1">
      <x:c r="A27" s="39" t="n">
        <x:v>21</x:v>
      </x:c>
      <x:c r="B27" s="5" t="str">
        <x:v>reasoning/decisions.yaml</x:v>
      </x:c>
      <x:c r="C27" s="5" t="str">
        <x:v>5</x:v>
      </x:c>
      <x:c r="D27" s="5" t="str">
        <x:v>YAML</x:v>
      </x:c>
      <x:c r="E27" s="5" t="str">
        <x:v>5–50KB</x:v>
      </x:c>
      <x:c r="F27" s="5" t="str">
        <x:v>PG decisions</x:v>
      </x:c>
      <x:c r="G27" s="5" t="str">
        <x:v>对象存储</x:v>
      </x:c>
      <x:c r="H27" s="5" t="str">
        <x:v>冻结</x:v>
      </x:c>
      <x:c r="I27" s="5" t="str">
        <x:v>② graph_why</x:v>
      </x:c>
      <x:c r="J27" s="5" t="str">
        <x:v>reasoning/</x:v>
      </x:c>
      <x:c r="K27" s="42" t="str">
        <x:v>reasoning/decisions.yaml</x:v>
      </x:c>
      <x:c r="L27" s="5" t="str">
        <x:v>判定与方案取舍记录：保存选了什么、依据、理由、被否决项及什么条件下需要重新讨论。</x:v>
      </x:c>
      <x:c r="M27" s="5" t="str">
        <x:v>15条记录；包含确定性约束判定及B方案深化等源文决定。</x:v>
      </x:c>
      <x:c r="N27" s="72" t="n">
        <x:f>COUNTIF('逐文件明细'!$B$7:$B$123,A27)</x:f>
        <x:v>1</x:v>
      </x:c>
      <x:c r="O27" s="73" t="n">
        <x:f>SUMIF('逐文件明细'!$B$7:$B$123,A27,'逐文件明细'!$G$7:$G$123)/'来源与约定'!$B$5</x:f>
        <x:v>15.99609375</x:v>
      </x:c>
      <x:c r="P27" s="44" t="str">
        <x:v>已生成；记录内部预审和回放，不代表本次抽取作出正式项目审批。</x:v>
      </x:c>
      <x:c r="Q27" s="46" t="str">
        <x:v>S1 §1.2/1.5/2.2；S2 ZIP目录；S3 reasoning/decisions.yaml</x:v>
      </x:c>
    </x:row>
    <x:row r="28" ht="90" customHeight="1">
      <x:c r="A28" s="49" t="n">
        <x:v>22</x:v>
      </x:c>
      <x:c r="B28" s="26" t="str">
        <x:v>reasoning/trace.jsonl</x:v>
      </x:c>
      <x:c r="C28" s="26" t="str">
        <x:v>5</x:v>
      </x:c>
      <x:c r="D28" s="26" t="str">
        <x:v>JSONL</x:v>
      </x:c>
      <x:c r="E28" s="26" t="str">
        <x:v>50–500KB</x:v>
      </x:c>
      <x:c r="F28" s="26" t="str">
        <x:v>事件流</x:v>
      </x:c>
      <x:c r="G28" s="26" t="str">
        <x:v>对象存储</x:v>
      </x:c>
      <x:c r="H28" s="26" t="str">
        <x:v>追加</x:v>
      </x:c>
      <x:c r="I28" s="26" t="str">
        <x:v>✕</x:v>
      </x:c>
      <x:c r="J28" s="26" t="str">
        <x:v>reasoning/</x:v>
      </x:c>
      <x:c r="K28" s="52" t="str">
        <x:v>reasoning/trace.jsonl</x:v>
      </x:c>
      <x:c r="L28" s="26" t="str">
        <x:v>入库重算的事件轨迹：按行归档执行顺序、输入输出和校验事件，供审计和故障追查。</x:v>
      </x:c>
      <x:c r="M28" s="26" t="str">
        <x:v>76条JSONL记录；保留原入库轨迹，没有伪造新的抽取事件。</x:v>
      </x:c>
      <x:c r="N28" s="74" t="n">
        <x:f>COUNTIF('逐文件明细'!$B$7:$B$123,A28)</x:f>
        <x:v>1</x:v>
      </x:c>
      <x:c r="O28" s="75" t="n">
        <x:f>SUMIF('逐文件明细'!$B$7:$B$123,A28,'逐文件明细'!$G$7:$G$123)/'来源与约定'!$B$5</x:f>
        <x:v>40.7265625</x:v>
      </x:c>
      <x:c r="P28" s="44" t="str">
        <x:v>已归档；规范运行态主存为事件流，本包只提供历史归档。</x:v>
      </x:c>
      <x:c r="Q28" s="54" t="str">
        <x:v>S1 §1.2/1.5/2.2；S2 ZIP目录；S3 reasoning/trace.jsonl</x:v>
      </x:c>
    </x:row>
    <x:row r="29" ht="90" customHeight="1">
      <x:c r="A29" s="39" t="n">
        <x:v>23</x:v>
      </x:c>
      <x:c r="B29" s="5" t="str">
        <x:v>quality/conflicts.yaml</x:v>
      </x:c>
      <x:c r="C29" s="5" t="str">
        <x:v>6</x:v>
      </x:c>
      <x:c r="D29" s="5" t="str">
        <x:v>YAML</x:v>
      </x:c>
      <x:c r="E29" s="5" t="str">
        <x:v>~5KB</x:v>
      </x:c>
      <x:c r="F29" s="5" t="str">
        <x:v>图库 :Conflict</x:v>
      </x:c>
      <x:c r="G29" s="5" t="str">
        <x:v>对象存储</x:v>
      </x:c>
      <x:c r="H29" s="5" t="str">
        <x:v>可更新</x:v>
      </x:c>
      <x:c r="I29" s="5" t="str">
        <x:v>③ 内嵌</x:v>
      </x:c>
      <x:c r="J29" s="5" t="str">
        <x:v>quality/</x:v>
      </x:c>
      <x:c r="K29" s="42" t="str">
        <x:v>quality/conflicts.yaml</x:v>
      </x:c>
      <x:c r="L29" s="5" t="str">
        <x:v>已识别矛盾的登记表：保留相互冲突的事实、来源、当前状态、责任方和处理要求。</x:v>
      </x:c>
      <x:c r="M29" s="5" t="str">
        <x:v>1项配电冲突：同基准、同接入点的800kW与650kW并存。</x:v>
      </x:c>
      <x:c r="N29" s="72" t="n">
        <x:f>COUNTIF('逐文件明细'!$B$7:$B$123,A29)</x:f>
        <x:v>1</x:v>
      </x:c>
      <x:c r="O29" s="73" t="n">
        <x:f>SUMIF('逐文件明细'!$B$7:$B$123,A29,'逐文件明细'!$G$7:$G$123)/'来源与约定'!$B$5</x:f>
        <x:v>1.5751953125</x:v>
      </x:c>
      <x:c r="P29" s="60" t="str">
        <x:v>已登记未解决；不能按较新或较大值擅自选一个作为唯一事实。</x:v>
      </x:c>
      <x:c r="Q29" s="46" t="str">
        <x:v>S1 §1.2/1.5/2.2；S2 ZIP目录；S3 quality/conflicts.yaml</x:v>
      </x:c>
    </x:row>
    <x:row r="30" ht="90" customHeight="1">
      <x:c r="A30" s="49" t="n">
        <x:v>24</x:v>
      </x:c>
      <x:c r="B30" s="26" t="str">
        <x:v>quality/gaps.yaml</x:v>
      </x:c>
      <x:c r="C30" s="26" t="str">
        <x:v>6</x:v>
      </x:c>
      <x:c r="D30" s="26" t="str">
        <x:v>YAML</x:v>
      </x:c>
      <x:c r="E30" s="26" t="str">
        <x:v>~5KB</x:v>
      </x:c>
      <x:c r="F30" s="26" t="str">
        <x:v>图库 :Gap</x:v>
      </x:c>
      <x:c r="G30" s="26" t="str">
        <x:v>对象存储</x:v>
      </x:c>
      <x:c r="H30" s="26" t="str">
        <x:v>可更新</x:v>
      </x:c>
      <x:c r="I30" s="26" t="str">
        <x:v>③ 内嵌</x:v>
      </x:c>
      <x:c r="J30" s="26" t="str">
        <x:v>quality/</x:v>
      </x:c>
      <x:c r="K30" s="52" t="str">
        <x:v>quality/gaps.yaml</x:v>
      </x:c>
      <x:c r="L30" s="26" t="str">
        <x:v>缺失资料和未知条件的登记表：说明缺什么、影响哪里、是否阻断以及需谁补充。</x:v>
      </x:c>
      <x:c r="M30" s="26" t="str">
        <x:v>11类缺口；涵盖融资、商务、验收、专项条件等；图中有10个未定义值。</x:v>
      </x:c>
      <x:c r="N30" s="74" t="n">
        <x:f>COUNTIF('逐文件明细'!$B$7:$B$123,A30)</x:f>
        <x:v>1</x:v>
      </x:c>
      <x:c r="O30" s="75" t="n">
        <x:f>SUMIF('逐文件明细'!$B$7:$B$123,A30,'逐文件明细'!$G$7:$G$123)/'来源与约定'!$B$5</x:f>
        <x:v>10.9970703125</x:v>
      </x:c>
      <x:c r="P30" s="60" t="str">
        <x:v>已登记未补齐；缺口数量与未定义节点数量不是同一统计口径。</x:v>
      </x:c>
      <x:c r="Q30" s="54" t="str">
        <x:v>S1 §1.2/1.5/2.2；S2 ZIP目录；S3 quality/gaps.yaml</x:v>
      </x:c>
    </x:row>
    <x:row r="31" ht="90" customHeight="1">
      <x:c r="A31" s="39" t="n">
        <x:v>25</x:v>
      </x:c>
      <x:c r="B31" s="5" t="str">
        <x:v>quality/gate_report.yaml</x:v>
      </x:c>
      <x:c r="C31" s="5" t="str">
        <x:v>6</x:v>
      </x:c>
      <x:c r="D31" s="5" t="str">
        <x:v>YAML</x:v>
      </x:c>
      <x:c r="E31" s="5" t="str">
        <x:v>~3KB</x:v>
      </x:c>
      <x:c r="F31" s="5" t="str">
        <x:v>PG gate_report</x:v>
      </x:c>
      <x:c r="G31" s="5" t="str">
        <x:v>对象存储</x:v>
      </x:c>
      <x:c r="H31" s="5" t="str">
        <x:v>冻结</x:v>
      </x:c>
      <x:c r="I31" s="5" t="str">
        <x:v>①（仅结论行）</x:v>
      </x:c>
      <x:c r="J31" s="5" t="str">
        <x:v>quality/</x:v>
      </x:c>
      <x:c r="K31" s="42" t="str">
        <x:v>quality/gate_report.yaml</x:v>
      </x:c>
      <x:c r="L31" s="5" t="str">
        <x:v>一次闸门校验的结果报告：汇总通过/阻断、不变式、缺口、冲突及基线回放结果。</x:v>
      </x:c>
      <x:c r="M31" s="5" t="str">
        <x:v>verdict为pass_with_notes；含基线回放和原生格式转换检查记录。</x:v>
      </x:c>
      <x:c r="N31" s="72" t="n">
        <x:f>COUNTIF('逐文件明细'!$B$7:$B$123,A31)</x:f>
        <x:v>1</x:v>
      </x:c>
      <x:c r="O31" s="73" t="n">
        <x:f>SUMIF('逐文件明细'!$B$7:$B$123,A31,'逐文件明细'!$G$7:$G$123)/'来源与约定'!$B$5</x:f>
        <x:v>10.658203125</x:v>
      </x:c>
      <x:c r="P31" s="60" t="str">
        <x:v>有保留通过；不代表语义召回率100%、项目审批或实施条件已经满足。</x:v>
      </x:c>
      <x:c r="Q31" s="46" t="str">
        <x:v>S1 §1.2/1.5/2.2；S2 ZIP目录；S3 quality/gate_report.yaml</x:v>
      </x:c>
    </x:row>
    <x:row r="32" ht="90" customHeight="1">
      <x:c r="A32" s="49" t="n">
        <x:v>26</x:v>
      </x:c>
      <x:c r="B32" s="26" t="str">
        <x:v>style/style_profile.yaml</x:v>
      </x:c>
      <x:c r="C32" s="26" t="str">
        <x:v>7</x:v>
      </x:c>
      <x:c r="D32" s="26" t="str">
        <x:v>YAML</x:v>
      </x:c>
      <x:c r="E32" s="26" t="str">
        <x:v>~4KB</x:v>
      </x:c>
      <x:c r="F32" s="26" t="str">
        <x:v>PG style_profile</x:v>
      </x:c>
      <x:c r="G32" s="26" t="str">
        <x:v>对象存储</x:v>
      </x:c>
      <x:c r="H32" s="26" t="str">
        <x:v>可更新</x:v>
      </x:c>
      <x:c r="I32" s="26" t="str">
        <x:v>① 注入</x:v>
      </x:c>
      <x:c r="J32" s="26" t="str">
        <x:v>style/</x:v>
      </x:c>
      <x:c r="K32" s="52" t="str">
        <x:v>style/style_profile.yaml</x:v>
      </x:c>
      <x:c r="L32" s="26" t="str">
        <x:v>写作风格说明：保存句长统计、人称、术语、数字格式、引用体例和无依据结论的禁用要求。</x:v>
      </x:c>
      <x:c r="M32" s="26" t="str">
        <x:v>文风测量、数字展示格式、术语、引用和表题形式；保留来源位置。</x:v>
      </x:c>
      <x:c r="N32" s="74" t="n">
        <x:f>COUNTIF('逐文件明细'!$B$7:$B$123,A32)</x:f>
        <x:v>1</x:v>
      </x:c>
      <x:c r="O32" s="75" t="n">
        <x:f>SUMIF('逐文件明细'!$B$7:$B$123,A32,'逐文件明细'!$G$7:$G$123)/'来源与约定'!$B$5</x:f>
        <x:v>8.0693359375</x:v>
      </x:c>
      <x:c r="P32" s="44" t="str">
        <x:v>已生成；部分禁用要求为本包写作约定，应按文件字段说明理解。</x:v>
      </x:c>
      <x:c r="Q32" s="54" t="str">
        <x:v>S1 §1.2/1.5/2.2；S2 ZIP目录；S3 style/style_profile.yaml</x:v>
      </x:c>
    </x:row>
    <x:row r="33" ht="90" customHeight="1">
      <x:c r="A33" s="39" t="n">
        <x:v>27</x:v>
      </x:c>
      <x:c r="B33" s="5" t="str">
        <x:v>style/section_templates/*.yaml</x:v>
      </x:c>
      <x:c r="C33" s="5" t="str">
        <x:v>7</x:v>
      </x:c>
      <x:c r="D33" s="5" t="str">
        <x:v>YAML</x:v>
      </x:c>
      <x:c r="E33" s="5" t="str">
        <x:v>每节 2–10KB</x:v>
      </x:c>
      <x:c r="F33" s="5" t="str">
        <x:v>对象存储</x:v>
      </x:c>
      <x:c r="G33" s="5" t="str">
        <x:v>—</x:v>
      </x:c>
      <x:c r="H33" s="5" t="str">
        <x:v>冻结</x:v>
      </x:c>
      <x:c r="I33" s="5" t="str">
        <x:v>② corpus_get_skeleton</x:v>
      </x:c>
      <x:c r="J33" s="5" t="str">
        <x:v>style/section_templates/</x:v>
      </x:c>
      <x:c r="K33" s="42" t="str">
        <x:v>style/section_templates/（49个.yaml；见逐文件明细）</x:v>
      </x:c>
      <x:c r="L33" s="5" t="str">
        <x:v>按章节组织的可复用写法：给出段落顺序、表格列结构和骨架引用，帮助Agent知道如何组织每一节。</x:v>
      </x:c>
      <x:c r="M33" s="5" t="str">
        <x:v>49个YAML；含封面、阅读说明、主章节和附录子节；以section_id命名。</x:v>
      </x:c>
      <x:c r="N33" s="72" t="n">
        <x:f>COUNTIF('逐文件明细'!$B$7:$B$123,A33)</x:f>
        <x:v>49</x:v>
      </x:c>
      <x:c r="O33" s="73" t="n">
        <x:f>SUMIF('逐文件明细'!$B$7:$B$123,A33,'逐文件明细'!$G$7:$G$123)/'来源与约定'!$B$5</x:f>
        <x:v>62.275390625</x:v>
      </x:c>
      <x:c r="P33" s="44" t="str">
        <x:v>已生成；主章含子节引用，装配须去重；空字数预算/法定模板不补造。</x:v>
      </x:c>
      <x:c r="Q33" s="46" t="str">
        <x:v>S1 §1.2/1.5/2.2；S2 ZIP目录；S3 style/section_templates/*.yaml</x:v>
      </x:c>
    </x:row>
    <x:row r="34" ht="90" customHeight="1">
      <x:c r="A34" s="49" t="n">
        <x:v>28</x:v>
      </x:c>
      <x:c r="B34" s="26" t="str">
        <x:v>index/node_index.json</x:v>
      </x:c>
      <x:c r="C34" s="26" t="str">
        <x:v>7</x:v>
      </x:c>
      <x:c r="D34" s="26" t="str">
        <x:v>JSON</x:v>
      </x:c>
      <x:c r="E34" s="26" t="str">
        <x:v>20–200KB</x:v>
      </x:c>
      <x:c r="F34" s="26" t="str">
        <x:v>PG node_mention 表</x:v>
      </x:c>
      <x:c r="G34" s="26" t="str">
        <x:v>对象存储</x:v>
      </x:c>
      <x:c r="H34" s="26" t="str">
        <x:v>冻结</x:v>
      </x:c>
      <x:c r="I34" s="26" t="str">
        <x:v>② corpus_where_used</x:v>
      </x:c>
      <x:c r="J34" s="26" t="str">
        <x:v>index/</x:v>
      </x:c>
      <x:c r="K34" s="52" t="str">
        <x:v>index/node_index.json</x:v>
      </x:c>
      <x:c r="L34" s="26" t="str">
        <x:v>节点到正文的倒排位置索引：查某个值出现在哪些切块、表格和章节，并关联其上下游和问题。</x:v>
      </x:c>
      <x:c r="M34" s="26" t="str">
        <x:v>以N001等节点ID为顶层键；339项索引；登记630处绑定。</x:v>
      </x:c>
      <x:c r="N34" s="74" t="n">
        <x:f>COUNTIF('逐文件明细'!$B$7:$B$123,A34)</x:f>
        <x:v>1</x:v>
      </x:c>
      <x:c r="O34" s="75" t="n">
        <x:f>SUMIF('逐文件明细'!$B$7:$B$123,A34,'逐文件明细'!$G$7:$G$123)/'来源与约定'!$B$5</x:f>
        <x:v>1207.7939453125</x:v>
      </x:c>
      <x:c r="P34" s="44" t="str">
        <x:v>已生成；查询原语料出现位置，不等同于新项目drafts/node_mentions.jsonl。</x:v>
      </x:c>
      <x:c r="Q34" s="54" t="str">
        <x:v>S1 §1.2/1.5/2.2；S2 ZIP目录；S3 index/node_index.json</x:v>
      </x:c>
    </x:row>
    <x:row r="35" ht="90" customHeight="1">
      <x:c r="A35" s="39" t="n">
        <x:v>29</x:v>
      </x:c>
      <x:c r="B35" s="5" t="str">
        <x:v>index/term_index.json</x:v>
      </x:c>
      <x:c r="C35" s="5" t="str">
        <x:v>7</x:v>
      </x:c>
      <x:c r="D35" s="5" t="str">
        <x:v>JSON</x:v>
      </x:c>
      <x:c r="E35" s="5" t="str">
        <x:v>5–50KB</x:v>
      </x:c>
      <x:c r="F35" s="5" t="str">
        <x:v>PG term 表</x:v>
      </x:c>
      <x:c r="G35" s="5" t="str">
        <x:v>对象存储</x:v>
      </x:c>
      <x:c r="H35" s="5" t="str">
        <x:v>可更新</x:v>
      </x:c>
      <x:c r="I35" s="5" t="str">
        <x:v>①（术语表段）</x:v>
      </x:c>
      <x:c r="J35" s="5" t="str">
        <x:v>index/</x:v>
      </x:c>
      <x:c r="K35" s="42" t="str">
        <x:v>index/term_index.json</x:v>
      </x:c>
      <x:c r="L35" s="5" t="str">
        <x:v>术语和别名归一索引：将同一业务量的不同叫法归到统一标签，供精确、同义匹配使用。</x:v>
      </x:c>
      <x:c r="M35" s="5" t="str">
        <x:v>20条术语记录；包含exact_label_index及matching_policy。</x:v>
      </x:c>
      <x:c r="N35" s="72" t="n">
        <x:f>COUNTIF('逐文件明细'!$B$7:$B$123,A35)</x:f>
        <x:v>1</x:v>
      </x:c>
      <x:c r="O35" s="73" t="n">
        <x:f>SUMIF('逐文件明细'!$B$7:$B$123,A35,'逐文件明细'!$G$7:$G$123)/'来源与约定'!$B$5</x:f>
        <x:v>19.37890625</x:v>
      </x:c>
      <x:c r="P35" s="44" t="str">
        <x:v>已生成；相同数字或近似名称不代表同一事实，仍要核对单位、口径和期间。</x:v>
      </x:c>
      <x:c r="Q35" s="46" t="str">
        <x:v>S1 §1.2/1.5/2.2；S2 ZIP目录；S3 index/term_index.json</x:v>
      </x:c>
    </x:row>
    <x:row r="36" ht="90" customHeight="1">
      <x:c r="A36" s="49" t="n">
        <x:v>30</x:v>
      </x:c>
      <x:c r="B36" s="26" t="str">
        <x:v>index/signature.yaml</x:v>
      </x:c>
      <x:c r="C36" s="26" t="str">
        <x:v>7</x:v>
      </x:c>
      <x:c r="D36" s="26" t="str">
        <x:v>YAML</x:v>
      </x:c>
      <x:c r="E36" s="26" t="str">
        <x:v>~1KB</x:v>
      </x:c>
      <x:c r="F36" s="26" t="str">
        <x:v>向量库 + PG</x:v>
      </x:c>
      <x:c r="G36" s="26" t="str">
        <x:v>对象存储</x:v>
      </x:c>
      <x:c r="H36" s="26" t="str">
        <x:v>冻结</x:v>
      </x:c>
      <x:c r="I36" s="26" t="str">
        <x:v>✕</x:v>
      </x:c>
      <x:c r="J36" s="26" t="str">
        <x:v>index/</x:v>
      </x:c>
      <x:c r="K36" s="52" t="str">
        <x:v>index/signature.yaml</x:v>
      </x:c>
      <x:c r="L36" s="26" t="str">
        <x:v>语料匹配特征摘要：汇总行业、项目类型、规模引用、章节和规则特征，用于挑选相似起点语料。</x:v>
      </x:c>
      <x:c r="M36" s="26" t="str">
        <x:v>已保存结构化特征；vector、embedding_model和匹配权重均为空。</x:v>
      </x:c>
      <x:c r="N36" s="74" t="n">
        <x:f>COUNTIF('逐文件明细'!$B$7:$B$123,A36)</x:f>
        <x:v>1</x:v>
      </x:c>
      <x:c r="O36" s="75" t="n">
        <x:f>SUMIF('逐文件明细'!$B$7:$B$123,A36,'逐文件明细'!$G$7:$G$123)/'来源与约定'!$B$5</x:f>
        <x:v>1.1923828125</x:v>
      </x:c>
      <x:c r="P36" s="60" t="str">
        <x:v>部分完成；只有结构化特征，没有真实特征向量或训练后的匹配模型。</x:v>
      </x:c>
      <x:c r="Q36" s="54" t="str">
        <x:v>S1 §1.2/1.5/2.2；S2 ZIP目录；S3 index/signature.yaml</x:v>
      </x:c>
    </x:row>
    <x:row r="37" ht="22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72"/>
      <x:c r="O37" s="73"/>
      <x:c r="P37" s="5"/>
      <x:c r="Q37" s="5"/>
    </x:row>
    <x:row r="38" ht="36" customHeight="1">
      <x:c r="A38" s="90" t="str">
        <x:v>规范产物合计（不含3个辅助文件；114个文件分属30类）</x:v>
      </x:c>
      <x:c r="B38" s="90"/>
      <x:c r="C38" s="90"/>
      <x:c r="D38" s="90"/>
      <x:c r="E38" s="90"/>
      <x:c r="F38" s="90"/>
      <x:c r="G38" s="90"/>
      <x:c r="H38" s="90"/>
      <x:c r="I38" s="90"/>
      <x:c r="J38" s="90"/>
      <x:c r="K38" s="90"/>
      <x:c r="L38" s="90"/>
      <x:c r="M38" s="90"/>
      <x:c r="N38" s="91" t="n">
        <x:f>SUM(N7:N36)</x:f>
        <x:v>114</x:v>
      </x:c>
      <x:c r="O38" s="92" t="n">
        <x:f>SUM(O7:O36)</x:f>
        <x:v>5329.013671875</x:v>
      </x:c>
      <x:c r="P38" s="90" t="str">
        <x:v>按K列路径在“逐文件明细”中筛选或查找。</x:v>
      </x:c>
      <x:c r="Q38" s="90"/>
    </x:row>
  </x:sheetData>
  <x:mergeCells>
    <x:mergeCell ref="A1:Q2"/>
    <x:mergeCell ref="A3:Q3"/>
    <x:mergeCell ref="A4:Q4"/>
    <x:mergeCell ref="A38:M38"/>
    <x:mergeCell ref="P38:Q38"/>
  </x:mergeCells>
  <x:pageMargins left="0.7" right="0.7" top="0.75" bottom="0.75" header="0.3" footer="0.3"/>
  <x:tableParts count="1">
    <x:tablePart xmlns:r="http://schemas.openxmlformats.org/officeDocument/2006/relationships" r:id="Ra7cfc55811f441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" hidden="0" customWidth="1"/>
    <x:col min="3" max="3" width="31" hidden="0" customWidth="1"/>
    <x:col min="4" max="4" width="26" hidden="0" customWidth="1"/>
    <x:col min="5" max="5" width="40" hidden="0" customWidth="1"/>
    <x:col min="6" max="6" width="11" hidden="0" customWidth="1"/>
    <x:col min="7" max="7" width="13" hidden="0" customWidth="1"/>
    <x:col min="8" max="8" width="14" hidden="0" customWidth="1"/>
    <x:col min="9" max="9" width="40" hidden="0" customWidth="1"/>
    <x:col min="10" max="10" width="38" hidden="0" customWidth="1"/>
    <x:col min="11" max="11" width="36" hidden="0" customWidth="1"/>
    <x:col min="12" max="12" width="15" hidden="0" customWidth="1"/>
  </x:cols>
  <x:sheetData>
    <x:row r="1" ht="23" customHeight="1">
      <x:c r="A1" s="12" t="str">
        <x:v>逐文件明细｜117个真实文件逐项定位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3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9" customHeight="1">
      <x:c r="A3" s="17" t="str">
        <x:v>114个规范产物文件＋3个交付辅助文件；原清单#为0表示辅助文件，不计入30类产物。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 ht="28" customHeight="1">
      <x:c r="A4" s="27" t="str">
        <x:v>路径相对解压根目录。目录型产物在此全部展开；“总览定位”标明对应总览行号。字节数来自压缩包目录实查。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22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32" t="str">
        <x:v>序号</x:v>
      </x:c>
      <x:c r="B6" s="32" t="str">
        <x:v>原清单#</x:v>
      </x:c>
      <x:c r="C6" s="32" t="str">
        <x:v>产物类别</x:v>
      </x:c>
      <x:c r="D6" s="32" t="str">
        <x:v>所在文件夹</x:v>
      </x:c>
      <x:c r="E6" s="32" t="str">
        <x:v>实际路径（相对根）</x:v>
      </x:c>
      <x:c r="F6" s="32" t="str">
        <x:v>实际格式</x:v>
      </x:c>
      <x:c r="G6" s="32" t="str">
        <x:v>字节数</x:v>
      </x:c>
      <x:c r="H6" s="32" t="str">
        <x:v>大小（KiB）</x:v>
      </x:c>
      <x:c r="I6" s="32" t="str">
        <x:v>对应内容 / 文件意义</x:v>
      </x:c>
      <x:c r="J6" s="32" t="str">
        <x:v>本包状态 / 边界</x:v>
      </x:c>
      <x:c r="K6" s="32" t="str">
        <x:v>来源定位</x:v>
      </x:c>
      <x:c r="L6" s="32" t="str">
        <x:v>总览定位</x:v>
      </x:c>
    </x:row>
    <x:row r="7" ht="91" customHeight="1">
      <x:c r="A7" s="80" t="n">
        <x:v>1</x:v>
      </x:c>
      <x:c r="B7" s="80" t="n">
        <x:v>1</x:v>
      </x:c>
      <x:c r="C7" s="5" t="str">
        <x:v>manifest.yaml</x:v>
      </x:c>
      <x:c r="D7" s="5" t="str">
        <x:v>./（根目录）</x:v>
      </x:c>
      <x:c r="E7" s="5" t="str">
        <x:v>manifest.yaml</x:v>
      </x:c>
      <x:c r="F7" s="5" t="str">
        <x:v>YAML</x:v>
      </x:c>
      <x:c r="G7" s="72" t="n">
        <x:v>24953</x:v>
      </x:c>
      <x:c r="H7" s="73" t="n">
        <x:f>G7/'来源与约定'!$B$5</x:f>
        <x:v>24.3681640625</x:v>
      </x:c>
      <x:c r="I7" s="5" t="str">
        <x:v>语料包的总入口：登记语料身份、版本、指纹、文件清单、权限说明和写作硬约束；先确认读的是哪一版。
本包：包版本v2（替代v1）；30类产物清单；原文/规范化正文哈希及数量统计。</x:v>
      </x:c>
      <x:c r="J7" s="5" t="str">
        <x:v>已生成；ready_for_review。存储和权限仅声明，未部署运行服务。</x:v>
      </x:c>
      <x:c r="K7" s="46" t="str">
        <x:v>S1 §1.2/1.5/2.2；S3 manifest.yaml</x:v>
      </x:c>
      <x:c r="L7" s="56" t="str">
        <x:v>总览第7行</x:v>
      </x:c>
    </x:row>
    <x:row r="8" ht="91" customHeight="1">
      <x:c r="A8" s="81" t="n">
        <x:v>2</x:v>
      </x:c>
      <x:c r="B8" s="81" t="n">
        <x:v>2</x:v>
      </x:c>
      <x:c r="C8" s="26" t="str">
        <x:v>meta.yaml</x:v>
      </x:c>
      <x:c r="D8" s="26" t="str">
        <x:v>./（根目录）</x:v>
      </x:c>
      <x:c r="E8" s="26" t="str">
        <x:v>meta.yaml</x:v>
      </x:c>
      <x:c r="F8" s="26" t="str">
        <x:v>YAML</x:v>
      </x:c>
      <x:c r="G8" s="74" t="n">
        <x:v>965</x:v>
      </x:c>
      <x:c r="H8" s="75" t="n">
        <x:f>G8/'来源与约定'!$B$5</x:f>
        <x:v>0.9423828125</x:v>
      </x:c>
      <x:c r="I8" s="26" t="str">
        <x:v>项目与语料的基本资料卡：记录行业、类型、规模、地域、编制信息和脱敏规则，供识别与匹配。
本包：电池托盘技改；项目编号CY-JG-2026-017；报告V1.0；2026-09-18基准。</x:v>
      </x:c>
      <x:c r="J8" s="26" t="str">
        <x:v>已生成；企业、地点及业务数据为虚构样本，不对应真实项目。</x:v>
      </x:c>
      <x:c r="K8" s="54" t="str">
        <x:v>S1 §1.2/1.5/2.2；S3 meta.yaml</x:v>
      </x:c>
      <x:c r="L8" s="58" t="str">
        <x:v>总览第8行</x:v>
      </x:c>
    </x:row>
    <x:row r="9" ht="106" customHeight="1">
      <x:c r="A9" s="80" t="n">
        <x:v>3</x:v>
      </x:c>
      <x:c r="B9" s="80" t="n">
        <x:v>3</x:v>
      </x:c>
      <x:c r="C9" s="5" t="str">
        <x:v>provenance.yaml</x:v>
      </x:c>
      <x:c r="D9" s="5" t="str">
        <x:v>./（根目录）</x:v>
      </x:c>
      <x:c r="E9" s="5" t="str">
        <x:v>provenance.yaml</x:v>
      </x:c>
      <x:c r="F9" s="5" t="str">
        <x:v>YAML</x:v>
      </x:c>
      <x:c r="G9" s="72" t="n">
        <x:v>24104</x:v>
      </x:c>
      <x:c r="H9" s="73" t="n">
        <x:f>G9/'来源与约定'!$B$5</x:f>
        <x:v>23.5390625</x:v>
      </x:c>
      <x:c r="I9" s="5" t="str">
        <x:v>入库与转换的审计记录：说明输入文件、操作者、抽取器版本、校对情况，以及各产物的扩展元数据。
本包：原始文件指纹；输入/排除输入；抽取记录；原生格式转换与artifact_metadata。</x:v>
      </x:c>
      <x:c r="J9" s="5" t="str">
        <x:v>已生成；未独立人工复核。原先JSON封装中的辅助信息保存在此。</x:v>
      </x:c>
      <x:c r="K9" s="46" t="str">
        <x:v>S1 §1.2/1.5/2.2；S3 provenance.yaml</x:v>
      </x:c>
      <x:c r="L9" s="56" t="str">
        <x:v>总览第9行</x:v>
      </x:c>
    </x:row>
    <x:row r="10" ht="91" customHeight="1">
      <x:c r="A10" s="81" t="n">
        <x:v>4</x:v>
      </x:c>
      <x:c r="B10" s="81" t="n">
        <x:v>4</x:v>
      </x:c>
      <x:c r="C10" s="26" t="str">
        <x:v>outline.yaml</x:v>
      </x:c>
      <x:c r="D10" s="26" t="str">
        <x:v>./（根目录）</x:v>
      </x:c>
      <x:c r="E10" s="26" t="str">
        <x:v>outline.yaml</x:v>
      </x:c>
      <x:c r="F10" s="26" t="str">
        <x:v>YAML</x:v>
      </x:c>
      <x:c r="G10" s="74" t="n">
        <x:v>37373</x:v>
      </x:c>
      <x:c r="H10" s="75" t="n">
        <x:f>G10/'来源与约定'!$B$5</x:f>
        <x:v>36.4970703125</x:v>
      </x:c>
      <x:c r="I10" s="26" t="str">
        <x:v>整篇报告的章节导航：记录层级、节点和切块归属、页码与覆盖情况，回答每节写什么、位于哪里。
本包：49个章节/容器条目；含11个业务主章节、封面、阅读说明与附录。</x:v>
      </x:c>
      <x:c r="J10" s="26" t="str">
        <x:v>已生成；未给出的法定大纲、字数预算保留空值，不自行补造。</x:v>
      </x:c>
      <x:c r="K10" s="54" t="str">
        <x:v>S1 §1.2/1.5/2.2；S3 outline.yaml</x:v>
      </x:c>
      <x:c r="L10" s="58" t="str">
        <x:v>总览第10行</x:v>
      </x:c>
    </x:row>
    <x:row r="11" ht="76" customHeight="1">
      <x:c r="A11" s="80" t="n">
        <x:v>5</x:v>
      </x:c>
      <x:c r="B11" s="80" t="n">
        <x:v>5</x:v>
      </x:c>
      <x:c r="C11" s="5" t="str">
        <x:v>source/original.docx</x:v>
      </x:c>
      <x:c r="D11" s="5" t="str">
        <x:v>source/</x:v>
      </x:c>
      <x:c r="E11" s="5" t="str">
        <x:v>source/original.docx</x:v>
      </x:c>
      <x:c r="F11" s="5" t="str">
        <x:v>DOCX</x:v>
      </x:c>
      <x:c r="G11" s="72" t="n">
        <x:v>64213</x:v>
      </x:c>
      <x:c r="H11" s="73" t="n">
        <x:f>G11/'来源与约定'!$B$5</x:f>
        <x:v>62.7080078125</x:v>
      </x:c>
      <x:c r="I11" s="5" t="str">
        <x:v>最原始的Word凭据：用于人工对照、追溯和归档，核对抽取内容是否忠于原件。
本包：真实DOCX原始字节；与业务原文指纹一致；19页内部评审稿。</x:v>
      </x:c>
      <x:c r="J11" s="5" t="str">
        <x:v>已归档；对写作Agent不可达。改新项目时不得回写原件。</x:v>
      </x:c>
      <x:c r="K11" s="46" t="str">
        <x:v>S1 §1.2/1.5/2.2；S3 source/original.docx</x:v>
      </x:c>
      <x:c r="L11" s="56" t="str">
        <x:v>总览第11行</x:v>
      </x:c>
    </x:row>
    <x:row r="12" ht="91" customHeight="1">
      <x:c r="A12" s="81" t="n">
        <x:v>6</x:v>
      </x:c>
      <x:c r="B12" s="81" t="n">
        <x:v>6</x:v>
      </x:c>
      <x:c r="C12" s="26" t="str">
        <x:v>source/normalized.md</x:v>
      </x:c>
      <x:c r="D12" s="26" t="str">
        <x:v>source/</x:v>
      </x:c>
      <x:c r="E12" s="26" t="str">
        <x:v>source/normalized.md</x:v>
      </x:c>
      <x:c r="F12" s="26" t="str">
        <x:v>Markdown</x:v>
      </x:c>
      <x:c r="G12" s="74" t="n">
        <x:v>41419</x:v>
      </x:c>
      <x:c r="H12" s="75" t="n">
        <x:f>G12/'来源与约定'!$B$5</x:f>
        <x:v>40.4482421875</x:v>
      </x:c>
      <x:c r="I12" s="26" t="str">
        <x:v>原文的统一Markdown文本：为切块、字符定位和摘录提供共同基准，保留原稿事实与数值。
本包：17,733个Unicode字符；由段落、标题、题注与表格组成。</x:v>
      </x:c>
      <x:c r="J12" s="26" t="str">
        <x:v>已生成；包含原值，不作为写作Agent的直接输入。</x:v>
      </x:c>
      <x:c r="K12" s="54" t="str">
        <x:v>S1 §1.2/1.5/2.2；S3 source/normalized.md</x:v>
      </x:c>
      <x:c r="L12" s="58" t="str">
        <x:v>总览第12行</x:v>
      </x:c>
    </x:row>
    <x:row r="13" ht="91" customHeight="1">
      <x:c r="A13" s="80" t="n">
        <x:v>7</x:v>
      </x:c>
      <x:c r="B13" s="80" t="n">
        <x:v>7</x:v>
      </x:c>
      <x:c r="C13" s="5" t="str">
        <x:v>source/offset_map.json</x:v>
      </x:c>
      <x:c r="D13" s="5" t="str">
        <x:v>source/</x:v>
      </x:c>
      <x:c r="E13" s="5" t="str">
        <x:v>source/offset_map.json</x:v>
      </x:c>
      <x:c r="F13" s="5" t="str">
        <x:v>JSON</x:v>
      </x:c>
      <x:c r="G13" s="72" t="n">
        <x:v>535340</x:v>
      </x:c>
      <x:c r="H13" s="73" t="n">
        <x:f>G13/'来源与约定'!$B$5</x:f>
        <x:v>522.79296875</x:v>
      </x:c>
      <x:c r="I13" s="5" t="str">
        <x:v>定位对照表：把规范化文本字符区间映射回原Word页码、段落和表格单元格，便于证据回链。
本包：Unicode字符区间、Word XML定位与页码映射；供切块、节点、摘录引用。</x:v>
      </x:c>
      <x:c r="J13" s="5" t="str">
        <x:v>已生成；偏移以当前normalized.md为基准，正文改动后不可直接沿用旧偏移。</x:v>
      </x:c>
      <x:c r="K13" s="46" t="str">
        <x:v>S1 §1.2/1.5/2.2；S3 source/offset_map.json</x:v>
      </x:c>
      <x:c r="L13" s="56" t="str">
        <x:v>总览第13行</x:v>
      </x:c>
    </x:row>
    <x:row r="14" ht="74" customHeight="1">
      <x:c r="A14" s="81" t="n">
        <x:v>8</x:v>
      </x:c>
      <x:c r="B14" s="81" t="n">
        <x:v>8</x:v>
      </x:c>
      <x:c r="C14" s="26" t="str">
        <x:v>source/assets/*</x:v>
      </x:c>
      <x:c r="D14" s="26" t="str">
        <x:v>source/assets/</x:v>
      </x:c>
      <x:c r="E14" s="26" t="str">
        <x:v>source/assets/T00.csv</x:v>
      </x:c>
      <x:c r="F14" s="26" t="str">
        <x:v>CSV</x:v>
      </x:c>
      <x:c r="G14" s="74" t="n">
        <x:v>431</x:v>
      </x:c>
      <x:c r="H14" s="75" t="n">
        <x:f>G14/'来源与约定'!$B$5</x:f>
        <x:v>0.4208984375</x:v>
      </x:c>
      <x:c r="I14" s="26" t="str">
        <x:v>目录。保存原表13行×2列的矩阵（含表头），用于追溯和表格还原。</x:v>
      </x:c>
      <x:c r="J14" s="26" t="str">
        <x:v>已生成；18张原始表格，不是18张新增图表。每个CSV保留原表矩阵。</x:v>
      </x:c>
      <x:c r="K14" s="54" t="str">
        <x:v>S4 artifact_metadata.source/assets/；C0017；原文第2页</x:v>
      </x:c>
      <x:c r="L14" s="58" t="str">
        <x:v>总览第14行</x:v>
      </x:c>
    </x:row>
    <x:row r="15" ht="74" customHeight="1">
      <x:c r="A15" s="80" t="n">
        <x:v>9</x:v>
      </x:c>
      <x:c r="B15" s="80" t="n">
        <x:v>8</x:v>
      </x:c>
      <x:c r="C15" s="5" t="str">
        <x:v>source/assets/*</x:v>
      </x:c>
      <x:c r="D15" s="5" t="str">
        <x:v>source/assets/</x:v>
      </x:c>
      <x:c r="E15" s="5" t="str">
        <x:v>source/assets/T01.csv</x:v>
      </x:c>
      <x:c r="F15" s="5" t="str">
        <x:v>CSV</x:v>
      </x:c>
      <x:c r="G15" s="72" t="n">
        <x:v>934</x:v>
      </x:c>
      <x:c r="H15" s="73" t="n">
        <x:f>G15/'来源与约定'!$B$5</x:f>
        <x:v>0.912109375</x:v>
      </x:c>
      <x:c r="I15" s="5" t="str">
        <x:v>表1-1 主要技术经济指标。保存原表13行×3列的矩阵（含表头），用于追溯和表格还原。</x:v>
      </x:c>
      <x:c r="J15" s="5" t="str">
        <x:v>已生成；18张原始表格，不是18张新增图表。每个CSV保留原表矩阵。</x:v>
      </x:c>
      <x:c r="K15" s="46" t="str">
        <x:v>S4 artifact_metadata.source/assets/；C0023；原文第3页</x:v>
      </x:c>
      <x:c r="L15" s="56" t="str">
        <x:v>总览第14行</x:v>
      </x:c>
    </x:row>
    <x:row r="16" ht="74" customHeight="1">
      <x:c r="A16" s="81" t="n">
        <x:v>10</x:v>
      </x:c>
      <x:c r="B16" s="81" t="n">
        <x:v>8</x:v>
      </x:c>
      <x:c r="C16" s="26" t="str">
        <x:v>source/assets/*</x:v>
      </x:c>
      <x:c r="D16" s="26" t="str">
        <x:v>source/assets/</x:v>
      </x:c>
      <x:c r="E16" s="26" t="str">
        <x:v>source/assets/T02.csv</x:v>
      </x:c>
      <x:c r="F16" s="26" t="str">
        <x:v>CSV</x:v>
      </x:c>
      <x:c r="G16" s="74" t="n">
        <x:v>276</x:v>
      </x:c>
      <x:c r="H16" s="75" t="n">
        <x:f>G16/'来源与约定'!$B$5</x:f>
        <x:v>0.26953125</x:v>
      </x:c>
      <x:c r="I16" s="26" t="str">
        <x:v>表2-1 分客户销售需求预测。保存原表4行×4列的矩阵（含表头），用于追溯和表格还原。</x:v>
      </x:c>
      <x:c r="J16" s="26" t="str">
        <x:v>已生成；18张原始表格，不是18张新增图表。每个CSV保留原表矩阵。</x:v>
      </x:c>
      <x:c r="K16" s="54" t="str">
        <x:v>S4 artifact_metadata.source/assets/；C0029；原文第4页</x:v>
      </x:c>
      <x:c r="L16" s="58" t="str">
        <x:v>总览第14行</x:v>
      </x:c>
    </x:row>
    <x:row r="17" ht="74" customHeight="1">
      <x:c r="A17" s="80" t="n">
        <x:v>11</x:v>
      </x:c>
      <x:c r="B17" s="80" t="n">
        <x:v>8</x:v>
      </x:c>
      <x:c r="C17" s="5" t="str">
        <x:v>source/assets/*</x:v>
      </x:c>
      <x:c r="D17" s="5" t="str">
        <x:v>source/assets/</x:v>
      </x:c>
      <x:c r="E17" s="5" t="str">
        <x:v>source/assets/T03.csv</x:v>
      </x:c>
      <x:c r="F17" s="5" t="str">
        <x:v>CSV</x:v>
      </x:c>
      <x:c r="G17" s="72" t="n">
        <x:v>425</x:v>
      </x:c>
      <x:c r="H17" s="73" t="n">
        <x:f>G17/'来源与约定'!$B$5</x:f>
        <x:v>0.4150390625</x:v>
      </x:c>
      <x:c r="I17" s="5" t="str">
        <x:v>表3-1 备选方案预比较。保存原表8行×4列的矩阵（含表头），用于追溯和表格还原。</x:v>
      </x:c>
      <x:c r="J17" s="5" t="str">
        <x:v>已生成；18张原始表格，不是18张新增图表。每个CSV保留原表矩阵。</x:v>
      </x:c>
      <x:c r="K17" s="46" t="str">
        <x:v>S4 artifact_metadata.source/assets/；C0042；原文第5页</x:v>
      </x:c>
      <x:c r="L17" s="56" t="str">
        <x:v>总览第14行</x:v>
      </x:c>
    </x:row>
    <x:row r="18" ht="74" customHeight="1">
      <x:c r="A18" s="81" t="n">
        <x:v>12</x:v>
      </x:c>
      <x:c r="B18" s="81" t="n">
        <x:v>8</x:v>
      </x:c>
      <x:c r="C18" s="26" t="str">
        <x:v>source/assets/*</x:v>
      </x:c>
      <x:c r="D18" s="26" t="str">
        <x:v>source/assets/</x:v>
      </x:c>
      <x:c r="E18" s="26" t="str">
        <x:v>source/assets/T04.csv</x:v>
      </x:c>
      <x:c r="F18" s="26" t="str">
        <x:v>CSV</x:v>
      </x:c>
      <x:c r="G18" s="74" t="n">
        <x:v>483</x:v>
      </x:c>
      <x:c r="H18" s="75" t="n">
        <x:f>G18/'来源与约定'!$B$5</x:f>
        <x:v>0.4716796875</x:v>
      </x:c>
      <x:c r="I18" s="26" t="str">
        <x:v>表4-1 产能测算输入。保存原表9行×3列的矩阵（含表头），用于追溯和表格还原。</x:v>
      </x:c>
      <x:c r="J18" s="26" t="str">
        <x:v>已生成；18张原始表格，不是18张新增图表。每个CSV保留原表矩阵。</x:v>
      </x:c>
      <x:c r="K18" s="54" t="str">
        <x:v>S4 artifact_metadata.source/assets/；C0047；原文第6页</x:v>
      </x:c>
      <x:c r="L18" s="58" t="str">
        <x:v>总览第14行</x:v>
      </x:c>
    </x:row>
    <x:row r="19" ht="74" customHeight="1">
      <x:c r="A19" s="80" t="n">
        <x:v>13</x:v>
      </x:c>
      <x:c r="B19" s="80" t="n">
        <x:v>8</x:v>
      </x:c>
      <x:c r="C19" s="5" t="str">
        <x:v>source/assets/*</x:v>
      </x:c>
      <x:c r="D19" s="5" t="str">
        <x:v>source/assets/</x:v>
      </x:c>
      <x:c r="E19" s="5" t="str">
        <x:v>source/assets/T05.csv</x:v>
      </x:c>
      <x:c r="F19" s="5" t="str">
        <x:v>CSV</x:v>
      </x:c>
      <x:c r="G19" s="72" t="n">
        <x:v>323</x:v>
      </x:c>
      <x:c r="H19" s="73" t="n">
        <x:f>G19/'来源与约定'!$B$5</x:f>
        <x:v>0.3154296875</x:v>
      </x:c>
      <x:c r="I19" s="5" t="str">
        <x:v>表5-1 本项目使用面积分配。保存原表6行×3列的矩阵（含表头），用于追溯和表格还原。</x:v>
      </x:c>
      <x:c r="J19" s="5" t="str">
        <x:v>已生成；18张原始表格，不是18张新增图表。每个CSV保留原表矩阵。</x:v>
      </x:c>
      <x:c r="K19" s="46" t="str">
        <x:v>S4 artifact_metadata.source/assets/；C0060；原文第7页</x:v>
      </x:c>
      <x:c r="L19" s="56" t="str">
        <x:v>总览第14行</x:v>
      </x:c>
    </x:row>
    <x:row r="20" ht="74" customHeight="1">
      <x:c r="A20" s="81" t="n">
        <x:v>14</x:v>
      </x:c>
      <x:c r="B20" s="81" t="n">
        <x:v>8</x:v>
      </x:c>
      <x:c r="C20" s="26" t="str">
        <x:v>source/assets/*</x:v>
      </x:c>
      <x:c r="D20" s="26" t="str">
        <x:v>source/assets/</x:v>
      </x:c>
      <x:c r="E20" s="26" t="str">
        <x:v>source/assets/T06.csv</x:v>
      </x:c>
      <x:c r="F20" s="26" t="str">
        <x:v>CSV</x:v>
      </x:c>
      <x:c r="G20" s="74" t="n">
        <x:v>446</x:v>
      </x:c>
      <x:c r="H20" s="75" t="n">
        <x:f>G20/'来源与约定'!$B$5</x:f>
        <x:v>0.435546875</x:v>
      </x:c>
      <x:c r="I20" s="26" t="str">
        <x:v>表6-1 项目实施计划。保存原表6行×4列的矩阵（含表头），用于追溯和表格还原。</x:v>
      </x:c>
      <x:c r="J20" s="26" t="str">
        <x:v>已生成；18张原始表格，不是18张新增图表。每个CSV保留原表矩阵。</x:v>
      </x:c>
      <x:c r="K20" s="54" t="str">
        <x:v>S4 artifact_metadata.source/assets/；C0070；原文第8页</x:v>
      </x:c>
      <x:c r="L20" s="58" t="str">
        <x:v>总览第14行</x:v>
      </x:c>
    </x:row>
    <x:row r="21" ht="74" customHeight="1">
      <x:c r="A21" s="80" t="n">
        <x:v>15</x:v>
      </x:c>
      <x:c r="B21" s="80" t="n">
        <x:v>8</x:v>
      </x:c>
      <x:c r="C21" s="5" t="str">
        <x:v>source/assets/*</x:v>
      </x:c>
      <x:c r="D21" s="5" t="str">
        <x:v>source/assets/</x:v>
      </x:c>
      <x:c r="E21" s="5" t="str">
        <x:v>source/assets/T07.csv</x:v>
      </x:c>
      <x:c r="F21" s="5" t="str">
        <x:v>CSV</x:v>
      </x:c>
      <x:c r="G21" s="72" t="n">
        <x:v>157</x:v>
      </x:c>
      <x:c r="H21" s="73" t="n">
        <x:f>G21/'来源与约定'!$B$5</x:f>
        <x:v>0.1533203125</x:v>
      </x:c>
      <x:c r="I21" s="5" t="str">
        <x:v>表6-2 新增定员及年度人工费用。保存原表4行×3列的矩阵（含表头），用于追溯和表格还原。</x:v>
      </x:c>
      <x:c r="J21" s="5" t="str">
        <x:v>已生成；18张原始表格，不是18张新增图表。每个CSV保留原表矩阵。</x:v>
      </x:c>
      <x:c r="K21" s="46" t="str">
        <x:v>S4 artifact_metadata.source/assets/；C0075；原文第8页</x:v>
      </x:c>
      <x:c r="L21" s="56" t="str">
        <x:v>总览第14行</x:v>
      </x:c>
    </x:row>
    <x:row r="22" ht="74" customHeight="1">
      <x:c r="A22" s="81" t="n">
        <x:v>16</x:v>
      </x:c>
      <x:c r="B22" s="81" t="n">
        <x:v>8</x:v>
      </x:c>
      <x:c r="C22" s="26" t="str">
        <x:v>source/assets/*</x:v>
      </x:c>
      <x:c r="D22" s="26" t="str">
        <x:v>source/assets/</x:v>
      </x:c>
      <x:c r="E22" s="26" t="str">
        <x:v>source/assets/T08.csv</x:v>
      </x:c>
      <x:c r="F22" s="26" t="str">
        <x:v>CSV</x:v>
      </x:c>
      <x:c r="G22" s="74" t="n">
        <x:v>387</x:v>
      </x:c>
      <x:c r="H22" s="75" t="n">
        <x:f>G22/'来源与约定'!$B$5</x:f>
        <x:v>0.3779296875</x:v>
      </x:c>
      <x:c r="I22" s="26" t="str">
        <x:v>表7-1 设备与系统购置费（不含税）。保存原表8行×4列的矩阵（含表头），用于追溯和表格还原。</x:v>
      </x:c>
      <x:c r="J22" s="26" t="str">
        <x:v>已生成；18张原始表格，不是18张新增图表。每个CSV保留原表矩阵。</x:v>
      </x:c>
      <x:c r="K22" s="54" t="str">
        <x:v>S4 artifact_metadata.source/assets/；C0082；原文第9页</x:v>
      </x:c>
      <x:c r="L22" s="58" t="str">
        <x:v>总览第14行</x:v>
      </x:c>
    </x:row>
    <x:row r="23" ht="74" customHeight="1">
      <x:c r="A23" s="80" t="n">
        <x:v>17</x:v>
      </x:c>
      <x:c r="B23" s="80" t="n">
        <x:v>8</x:v>
      </x:c>
      <x:c r="C23" s="5" t="str">
        <x:v>source/assets/*</x:v>
      </x:c>
      <x:c r="D23" s="5" t="str">
        <x:v>source/assets/</x:v>
      </x:c>
      <x:c r="E23" s="5" t="str">
        <x:v>source/assets/T09.csv</x:v>
      </x:c>
      <x:c r="F23" s="5" t="str">
        <x:v>CSV</x:v>
      </x:c>
      <x:c r="G23" s="72" t="n">
        <x:v>300</x:v>
      </x:c>
      <x:c r="H23" s="73" t="n">
        <x:f>G23/'来源与约定'!$B$5</x:f>
        <x:v>0.29296875</x:v>
      </x:c>
      <x:c r="I23" s="5" t="str">
        <x:v>表7-2 建筑与公辅工程费用。保存原表5行×3列的矩阵（含表头），用于追溯和表格还原。</x:v>
      </x:c>
      <x:c r="J23" s="5" t="str">
        <x:v>已生成；18张原始表格，不是18张新增图表。每个CSV保留原表矩阵。</x:v>
      </x:c>
      <x:c r="K23" s="46" t="str">
        <x:v>S4 artifact_metadata.source/assets/；C0086；原文第9页</x:v>
      </x:c>
      <x:c r="L23" s="56" t="str">
        <x:v>总览第14行</x:v>
      </x:c>
    </x:row>
    <x:row r="24" ht="74" customHeight="1">
      <x:c r="A24" s="81" t="n">
        <x:v>18</x:v>
      </x:c>
      <x:c r="B24" s="81" t="n">
        <x:v>8</x:v>
      </x:c>
      <x:c r="C24" s="26" t="str">
        <x:v>source/assets/*</x:v>
      </x:c>
      <x:c r="D24" s="26" t="str">
        <x:v>source/assets/</x:v>
      </x:c>
      <x:c r="E24" s="26" t="str">
        <x:v>source/assets/T10.csv</x:v>
      </x:c>
      <x:c r="F24" s="26" t="str">
        <x:v>CSV</x:v>
      </x:c>
      <x:c r="G24" s="74" t="n">
        <x:v>353</x:v>
      </x:c>
      <x:c r="H24" s="75" t="n">
        <x:f>G24/'来源与约定'!$B$5</x:f>
        <x:v>0.3447265625</x:v>
      </x:c>
      <x:c r="I24" s="26" t="str">
        <x:v>表7-3 建设投资估算汇总。保存原表8行×4列的矩阵（含表头），用于追溯和表格还原。</x:v>
      </x:c>
      <x:c r="J24" s="26" t="str">
        <x:v>已生成；18张原始表格，不是18张新增图表。每个CSV保留原表矩阵。</x:v>
      </x:c>
      <x:c r="K24" s="54" t="str">
        <x:v>S4 artifact_metadata.source/assets/；C0095；原文第10页</x:v>
      </x:c>
      <x:c r="L24" s="58" t="str">
        <x:v>总览第14行</x:v>
      </x:c>
    </x:row>
    <x:row r="25" ht="74" customHeight="1">
      <x:c r="A25" s="80" t="n">
        <x:v>19</x:v>
      </x:c>
      <x:c r="B25" s="80" t="n">
        <x:v>8</x:v>
      </x:c>
      <x:c r="C25" s="5" t="str">
        <x:v>source/assets/*</x:v>
      </x:c>
      <x:c r="D25" s="5" t="str">
        <x:v>source/assets/</x:v>
      </x:c>
      <x:c r="E25" s="5" t="str">
        <x:v>source/assets/T11.csv</x:v>
      </x:c>
      <x:c r="F25" s="5" t="str">
        <x:v>CSV</x:v>
      </x:c>
      <x:c r="G25" s="72" t="n">
        <x:v>455</x:v>
      </x:c>
      <x:c r="H25" s="73" t="n">
        <x:f>G25/'来源与约定'!$B$5</x:f>
        <x:v>0.4443359375</x:v>
      </x:c>
      <x:c r="I25" s="5" t="str">
        <x:v>表8-1 单套变动成本测算。保存原表7行×4列的矩阵（含表头），用于追溯和表格还原。</x:v>
      </x:c>
      <x:c r="J25" s="5" t="str">
        <x:v>已生成；18张原始表格，不是18张新增图表。每个CSV保留原表矩阵。</x:v>
      </x:c>
      <x:c r="K25" s="46" t="str">
        <x:v>S4 artifact_metadata.source/assets/；C0106；原文第11页</x:v>
      </x:c>
      <x:c r="L25" s="56" t="str">
        <x:v>总览第14行</x:v>
      </x:c>
    </x:row>
    <x:row r="26" ht="74" customHeight="1">
      <x:c r="A26" s="81" t="n">
        <x:v>20</x:v>
      </x:c>
      <x:c r="B26" s="81" t="n">
        <x:v>8</x:v>
      </x:c>
      <x:c r="C26" s="26" t="str">
        <x:v>source/assets/*</x:v>
      </x:c>
      <x:c r="D26" s="26" t="str">
        <x:v>source/assets/</x:v>
      </x:c>
      <x:c r="E26" s="26" t="str">
        <x:v>source/assets/T12.csv</x:v>
      </x:c>
      <x:c r="F26" s="26" t="str">
        <x:v>CSV</x:v>
      </x:c>
      <x:c r="G26" s="74" t="n">
        <x:v>340</x:v>
      </x:c>
      <x:c r="H26" s="75" t="n">
        <x:f>G26/'来源与约定'!$B$5</x:f>
        <x:v>0.33203125</x:v>
      </x:c>
      <x:c r="I26" s="26" t="str">
        <x:v>表9-1 正常年净营运资金估算。保存原表6行×3列的矩阵（含表头），用于追溯和表格还原。</x:v>
      </x:c>
      <x:c r="J26" s="26" t="str">
        <x:v>已生成；18张原始表格，不是18张新增图表。每个CSV保留原表矩阵。</x:v>
      </x:c>
      <x:c r="K26" s="54" t="str">
        <x:v>S4 artifact_metadata.source/assets/；C0116；原文第12页</x:v>
      </x:c>
      <x:c r="L26" s="58" t="str">
        <x:v>总览第14行</x:v>
      </x:c>
    </x:row>
    <x:row r="27" ht="74" customHeight="1">
      <x:c r="A27" s="80" t="n">
        <x:v>21</x:v>
      </x:c>
      <x:c r="B27" s="80" t="n">
        <x:v>8</x:v>
      </x:c>
      <x:c r="C27" s="5" t="str">
        <x:v>source/assets/*</x:v>
      </x:c>
      <x:c r="D27" s="5" t="str">
        <x:v>source/assets/</x:v>
      </x:c>
      <x:c r="E27" s="5" t="str">
        <x:v>source/assets/T13.csv</x:v>
      </x:c>
      <x:c r="F27" s="5" t="str">
        <x:v>CSV</x:v>
      </x:c>
      <x:c r="G27" s="72" t="n">
        <x:v>293</x:v>
      </x:c>
      <x:c r="H27" s="73" t="n">
        <x:f>G27/'来源与约定'!$B$5</x:f>
        <x:v>0.2861328125</x:v>
      </x:c>
      <x:c r="I27" s="5" t="str">
        <x:v>表10-1 两期经营测算对照（金额单位：万元）。保存原表7行×3列的矩阵（含表头），用于追溯和表格还原。</x:v>
      </x:c>
      <x:c r="J27" s="5" t="str">
        <x:v>已生成；18张原始表格，不是18张新增图表。每个CSV保留原表矩阵。</x:v>
      </x:c>
      <x:c r="K27" s="46" t="str">
        <x:v>S4 artifact_metadata.source/assets/；C0126；原文第13页</x:v>
      </x:c>
      <x:c r="L27" s="56" t="str">
        <x:v>总览第14行</x:v>
      </x:c>
    </x:row>
    <x:row r="28" ht="74" customHeight="1">
      <x:c r="A28" s="81" t="n">
        <x:v>22</x:v>
      </x:c>
      <x:c r="B28" s="81" t="n">
        <x:v>8</x:v>
      </x:c>
      <x:c r="C28" s="26" t="str">
        <x:v>source/assets/*</x:v>
      </x:c>
      <x:c r="D28" s="26" t="str">
        <x:v>source/assets/</x:v>
      </x:c>
      <x:c r="E28" s="26" t="str">
        <x:v>source/assets/T14.csv</x:v>
      </x:c>
      <x:c r="F28" s="26" t="str">
        <x:v>CSV</x:v>
      </x:c>
      <x:c r="G28" s="74" t="n">
        <x:v>875</x:v>
      </x:c>
      <x:c r="H28" s="75" t="n">
        <x:f>G28/'来源与约定'!$B$5</x:f>
        <x:v>0.8544921875</x:v>
      </x:c>
      <x:c r="I28" s="26" t="str">
        <x:v>表11-1 关键风险与待核事项。保存原表8行×3列的矩阵（含表头），用于追溯和表格还原。</x:v>
      </x:c>
      <x:c r="J28" s="26" t="str">
        <x:v>已生成；18张原始表格，不是18张新增图表。每个CSV保留原表矩阵。</x:v>
      </x:c>
      <x:c r="K28" s="54" t="str">
        <x:v>S4 artifact_metadata.source/assets/；C0137；原文第14页</x:v>
      </x:c>
      <x:c r="L28" s="58" t="str">
        <x:v>总览第14行</x:v>
      </x:c>
    </x:row>
    <x:row r="29" ht="74" customHeight="1">
      <x:c r="A29" s="80" t="n">
        <x:v>23</x:v>
      </x:c>
      <x:c r="B29" s="80" t="n">
        <x:v>8</x:v>
      </x:c>
      <x:c r="C29" s="5" t="str">
        <x:v>source/assets/*</x:v>
      </x:c>
      <x:c r="D29" s="5" t="str">
        <x:v>source/assets/</x:v>
      </x:c>
      <x:c r="E29" s="5" t="str">
        <x:v>source/assets/T15.csv</x:v>
      </x:c>
      <x:c r="F29" s="5" t="str">
        <x:v>CSV</x:v>
      </x:c>
      <x:c r="G29" s="72" t="n">
        <x:v>528</x:v>
      </x:c>
      <x:c r="H29" s="73" t="n">
        <x:f>G29/'来源与约定'!$B$5</x:f>
        <x:v>0.515625</x:v>
      </x:c>
      <x:c r="I29" s="5" t="str">
        <x:v>表11-2 基准情景约束检查。保存原表7行×3列的矩阵（含表头），用于追溯和表格还原。</x:v>
      </x:c>
      <x:c r="J29" s="5" t="str">
        <x:v>已生成；18张原始表格，不是18张新增图表。每个CSV保留原表矩阵。</x:v>
      </x:c>
      <x:c r="K29" s="46" t="str">
        <x:v>S4 artifact_metadata.source/assets/；C0141；原文第14页</x:v>
      </x:c>
      <x:c r="L29" s="56" t="str">
        <x:v>总览第14行</x:v>
      </x:c>
    </x:row>
    <x:row r="30" ht="74" customHeight="1">
      <x:c r="A30" s="81" t="n">
        <x:v>24</x:v>
      </x:c>
      <x:c r="B30" s="81" t="n">
        <x:v>8</x:v>
      </x:c>
      <x:c r="C30" s="26" t="str">
        <x:v>source/assets/*</x:v>
      </x:c>
      <x:c r="D30" s="26" t="str">
        <x:v>source/assets/</x:v>
      </x:c>
      <x:c r="E30" s="26" t="str">
        <x:v>source/assets/T16.csv</x:v>
      </x:c>
      <x:c r="F30" s="26" t="str">
        <x:v>CSV</x:v>
      </x:c>
      <x:c r="G30" s="74" t="n">
        <x:v>670</x:v>
      </x:c>
      <x:c r="H30" s="75" t="n">
        <x:f>G30/'来源与约定'!$B$5</x:f>
        <x:v>0.654296875</x:v>
      </x:c>
      <x:c r="I30" s="26" t="str">
        <x:v>表11-3 下一阶段提资及责任分工。保存原表7行×3列的矩阵（含表头），用于追溯和表格还原。</x:v>
      </x:c>
      <x:c r="J30" s="26" t="str">
        <x:v>已生成；18张原始表格，不是18张新增图表。每个CSV保留原表矩阵。</x:v>
      </x:c>
      <x:c r="K30" s="54" t="str">
        <x:v>S4 artifact_metadata.source/assets/；C0150；原文第15页</x:v>
      </x:c>
      <x:c r="L30" s="58" t="str">
        <x:v>总览第14行</x:v>
      </x:c>
    </x:row>
    <x:row r="31" ht="74" customHeight="1">
      <x:c r="A31" s="80" t="n">
        <x:v>25</x:v>
      </x:c>
      <x:c r="B31" s="80" t="n">
        <x:v>8</x:v>
      </x:c>
      <x:c r="C31" s="5" t="str">
        <x:v>source/assets/*</x:v>
      </x:c>
      <x:c r="D31" s="5" t="str">
        <x:v>source/assets/</x:v>
      </x:c>
      <x:c r="E31" s="5" t="str">
        <x:v>source/assets/T17.csv</x:v>
      </x:c>
      <x:c r="F31" s="5" t="str">
        <x:v>CSV</x:v>
      </x:c>
      <x:c r="G31" s="72" t="n">
        <x:v>1283</x:v>
      </x:c>
      <x:c r="H31" s="73" t="n">
        <x:f>G31/'来源与约定'!$B$5</x:f>
        <x:v>1.2529296875</x:v>
      </x:c>
      <x:c r="I31" s="5" t="str">
        <x:v>表A-1 资料登记表。保存原表12行×4列的矩阵（含表头），用于追溯和表格还原。</x:v>
      </x:c>
      <x:c r="J31" s="5" t="str">
        <x:v>已生成；18张原始表格，不是18张新增图表。每个CSV保留原表矩阵。</x:v>
      </x:c>
      <x:c r="K31" s="46" t="str">
        <x:v>S4 artifact_metadata.source/assets/；C0155；原文第16页</x:v>
      </x:c>
      <x:c r="L31" s="56" t="str">
        <x:v>总览第14行</x:v>
      </x:c>
    </x:row>
    <x:row r="32" ht="91" customHeight="1">
      <x:c r="A32" s="81" t="n">
        <x:v>26</x:v>
      </x:c>
      <x:c r="B32" s="81" t="n">
        <x:v>9</x:v>
      </x:c>
      <x:c r="C32" s="26" t="str">
        <x:v>chunks/chunks.jsonl</x:v>
      </x:c>
      <x:c r="D32" s="26" t="str">
        <x:v>chunks/</x:v>
      </x:c>
      <x:c r="E32" s="26" t="str">
        <x:v>chunks/chunks.jsonl</x:v>
      </x:c>
      <x:c r="F32" s="26" t="str">
        <x:v>JSONL</x:v>
      </x:c>
      <x:c r="G32" s="74" t="n">
        <x:v>145053</x:v>
      </x:c>
      <x:c r="H32" s="75" t="n">
        <x:f>G32/'来源与约定'!$B$5</x:f>
        <x:v>141.6533203125</x:v>
      </x:c>
      <x:c r="I32" s="26" t="str">
        <x:v>带原始数值的语义切块：保留文本、位置、章节和绑定信息，作为抽取与追溯的内部原始块。
本包：194条JSONL记录；每个非空段落、标题、题注或完整表格独立成块。</x:v>
      </x:c>
      <x:c r="J32" s="26" t="str">
        <x:v>已生成；含原值。规范不允许写作Agent直接获取此文件。</x:v>
      </x:c>
      <x:c r="K32" s="54" t="str">
        <x:v>S1 §1.2/1.5/2.2；S3 chunks/chunks.jsonl</x:v>
      </x:c>
      <x:c r="L32" s="58" t="str">
        <x:v>总览第15行</x:v>
      </x:c>
    </x:row>
    <x:row r="33" ht="91" customHeight="1">
      <x:c r="A33" s="80" t="n">
        <x:v>27</x:v>
      </x:c>
      <x:c r="B33" s="80" t="n">
        <x:v>10</x:v>
      </x:c>
      <x:c r="C33" s="5" t="str">
        <x:v>chunks/skeletons.jsonl</x:v>
      </x:c>
      <x:c r="D33" s="5" t="str">
        <x:v>chunks/</x:v>
      </x:c>
      <x:c r="E33" s="5" t="str">
        <x:v>chunks/skeletons.jsonl</x:v>
      </x:c>
      <x:c r="F33" s="5" t="str">
        <x:v>JSONL</x:v>
      </x:c>
      <x:c r="G33" s="72" t="n">
        <x:v>288514</x:v>
      </x:c>
      <x:c r="H33" s="73" t="n">
        <x:f>G33/'来源与约定'!$B$5</x:f>
        <x:v>281.751953125</x:v>
      </x:c>
      <x:c r="I33" s="5" t="str">
        <x:v>写作使用的占位符骨架：把已绑定数值替换为{{node:Nxxx}}，保存槽位和格式，按需读取后填本项目值。
本包：194条JSONL；含node_slots、格式和位置；对应630处原文绑定。</x:v>
      </x:c>
      <x:c r="J33" s="5" t="str">
        <x:v>已生成；数值骨架不等于完整身份脱敏或已实施权限系统。</x:v>
      </x:c>
      <x:c r="K33" s="46" t="str">
        <x:v>S1 §1.2/1.5/2.2；S3 chunks/skeletons.jsonl</x:v>
      </x:c>
      <x:c r="L33" s="56" t="str">
        <x:v>总览第16行</x:v>
      </x:c>
    </x:row>
    <x:row r="34" ht="76" customHeight="1">
      <x:c r="A34" s="81" t="n">
        <x:v>28</x:v>
      </x:c>
      <x:c r="B34" s="81" t="n">
        <x:v>11</x:v>
      </x:c>
      <x:c r="C34" s="26" t="str">
        <x:v>chunks/embeddings.parquet</x:v>
      </x:c>
      <x:c r="D34" s="26" t="str">
        <x:v>chunks/</x:v>
      </x:c>
      <x:c r="E34" s="26" t="str">
        <x:v>chunks/embeddings.parquet</x:v>
      </x:c>
      <x:c r="F34" s="26" t="str">
        <x:v>Parquet</x:v>
      </x:c>
      <x:c r="G34" s="74" t="n">
        <x:v>2242</x:v>
      </x:c>
      <x:c r="H34" s="75" t="n">
        <x:f>G34/'来源与约定'!$B$5</x:f>
        <x:v>2.189453125</x:v>
      </x:c>
      <x:c r="I34" s="26" t="str">
        <x:v>切块语义向量的归档副本；规范用于检索服务内部，实际向量主本应位于向量库。
本包：Parquet零行空表；有字段定义和not_generated元数据；向量数量为0。</x:v>
      </x:c>
      <x:c r="J34" s="60" t="str">
        <x:v>未生成向量：零行Parquet，仅保存字段定义及状态。</x:v>
      </x:c>
      <x:c r="K34" s="54" t="str">
        <x:v>S1 §1.2/1.5/2.2；S3 chunks/embeddings.parquet</x:v>
      </x:c>
      <x:c r="L34" s="58" t="str">
        <x:v>总览第17行</x:v>
      </x:c>
    </x:row>
    <x:row r="35" ht="91" customHeight="1">
      <x:c r="A35" s="80" t="n">
        <x:v>29</x:v>
      </x:c>
      <x:c r="B35" s="80" t="n">
        <x:v>12</x:v>
      </x:c>
      <x:c r="C35" s="5" t="str">
        <x:v>graph/nodes.yaml</x:v>
      </x:c>
      <x:c r="D35" s="5" t="str">
        <x:v>graph/</x:v>
      </x:c>
      <x:c r="E35" s="5" t="str">
        <x:v>graph/nodes.yaml</x:v>
      </x:c>
      <x:c r="F35" s="5" t="str">
        <x:v>YAML</x:v>
      </x:c>
      <x:c r="G35" s="72" t="n">
        <x:v>504824</x:v>
      </x:c>
      <x:c r="H35" s="73" t="n">
        <x:f>G35/'来源与约定'!$B$5</x:f>
        <x:v>492.9921875</x:v>
      </x:c>
      <x:c r="I35" s="5" t="str">
        <x:v>业务事实和判断的节点台账：保存名称、值、单位、口径、期间、来源、状态及出现位置。
本包：339节点：201业务/语义、98编号/引用、40其他元数据或格式节点。</x:v>
      </x:c>
      <x:c r="J35" s="5" t="str">
        <x:v>已生成；不是339个独立业务指标。语料值只用于基线，不直接继承到新项目。</x:v>
      </x:c>
      <x:c r="K35" s="46" t="str">
        <x:v>S1 §1.2/1.5/2.2；S3 graph/nodes.yaml</x:v>
      </x:c>
      <x:c r="L35" s="56" t="str">
        <x:v>总览第18行</x:v>
      </x:c>
    </x:row>
    <x:row r="36" ht="91" customHeight="1">
      <x:c r="A36" s="81" t="n">
        <x:v>30</x:v>
      </x:c>
      <x:c r="B36" s="81" t="n">
        <x:v>13</x:v>
      </x:c>
      <x:c r="C36" s="26" t="str">
        <x:v>graph/rules.yaml</x:v>
      </x:c>
      <x:c r="D36" s="26" t="str">
        <x:v>graph/</x:v>
      </x:c>
      <x:c r="E36" s="26" t="str">
        <x:v>graph/rules.yaml</x:v>
      </x:c>
      <x:c r="F36" s="26" t="str">
        <x:v>YAML</x:v>
      </x:c>
      <x:c r="G36" s="74" t="n">
        <x:v>140513</x:v>
      </x:c>
      <x:c r="H36" s="75" t="n">
        <x:f>G36/'来源与约定'!$B$5</x:f>
        <x:v>137.2197265625</x:v>
      </x:c>
      <x:c r="I36" s="26" t="str">
        <x:v>可执行推导与判定规则：写明目标节点、表达式、依赖、缺值守卫和前提，回答结果怎样算出来。
本包：74条规则：62计算、12确定性判定；含完整精度与适用条件。</x:v>
      </x:c>
      <x:c r="J36" s="26" t="str">
        <x:v>已生成；存在未知输入或前提不成立时，不得按0或强套公式计算。</x:v>
      </x:c>
      <x:c r="K36" s="54" t="str">
        <x:v>S1 §1.2/1.5/2.2；S3 graph/rules.yaml</x:v>
      </x:c>
      <x:c r="L36" s="58" t="str">
        <x:v>总览第19行</x:v>
      </x:c>
    </x:row>
    <x:row r="37" ht="91" customHeight="1">
      <x:c r="A37" s="80" t="n">
        <x:v>31</x:v>
      </x:c>
      <x:c r="B37" s="80" t="n">
        <x:v>14</x:v>
      </x:c>
      <x:c r="C37" s="5" t="str">
        <x:v>graph/relations.yaml</x:v>
      </x:c>
      <x:c r="D37" s="5" t="str">
        <x:v>graph/</x:v>
      </x:c>
      <x:c r="E37" s="5" t="str">
        <x:v>graph/relations.yaml</x:v>
      </x:c>
      <x:c r="F37" s="5" t="str">
        <x:v>YAML</x:v>
      </x:c>
      <x:c r="G37" s="72" t="n">
        <x:v>545708</x:v>
      </x:c>
      <x:c r="H37" s="73" t="n">
        <x:f>G37/'来源与约定'!$B$5</x:f>
        <x:v>532.91796875</x:v>
      </x:c>
      <x:c r="I37" s="5" t="str">
        <x:v>节点、论断、证据和正文之间的关系表：记录依赖与传播动作，用来找出改一个值会牵动哪里。
本包：1,666条关系；涵盖十类语义关系及传播方向、动作。</x:v>
      </x:c>
      <x:c r="J37" s="5" t="str">
        <x:v>已生成；这是离线关系快照，不等于图数据库传播服务已部署。</x:v>
      </x:c>
      <x:c r="K37" s="46" t="str">
        <x:v>S1 §1.2/1.5/2.2；S3 graph/relations.yaml</x:v>
      </x:c>
      <x:c r="L37" s="56" t="str">
        <x:v>总览第20行</x:v>
      </x:c>
    </x:row>
    <x:row r="38" ht="76" customHeight="1">
      <x:c r="A38" s="81" t="n">
        <x:v>32</x:v>
      </x:c>
      <x:c r="B38" s="81" t="n">
        <x:v>15</x:v>
      </x:c>
      <x:c r="C38" s="26" t="str">
        <x:v>graph/claims.yaml</x:v>
      </x:c>
      <x:c r="D38" s="26" t="str">
        <x:v>graph/</x:v>
      </x:c>
      <x:c r="E38" s="26" t="str">
        <x:v>graph/claims.yaml</x:v>
      </x:c>
      <x:c r="F38" s="26" t="str">
        <x:v>YAML</x:v>
      </x:c>
      <x:c r="G38" s="74" t="n">
        <x:v>51941</x:v>
      </x:c>
      <x:c r="H38" s="75" t="n">
        <x:f>G38/'来源与约定'!$B$5</x:f>
        <x:v>50.7236328125</x:v>
      </x:c>
      <x:c r="I38" s="26" t="str">
        <x:v>结论与论证的结构化条目：保留原文论断、支撑节点、引用依据、强度及复核条件。
本包：48条论断；连接产能、投资、资金、回收与实施前置条件。</x:v>
      </x:c>
      <x:c r="J38" s="26" t="str">
        <x:v>已生成；指标达标不能自动推成订单落实、融资落实或无条件开工。</x:v>
      </x:c>
      <x:c r="K38" s="54" t="str">
        <x:v>S1 §1.2/1.5/2.2；S3 graph/claims.yaml</x:v>
      </x:c>
      <x:c r="L38" s="58" t="str">
        <x:v>总览第21行</x:v>
      </x:c>
    </x:row>
    <x:row r="39" ht="91" customHeight="1">
      <x:c r="A39" s="80" t="n">
        <x:v>33</x:v>
      </x:c>
      <x:c r="B39" s="80" t="n">
        <x:v>16</x:v>
      </x:c>
      <x:c r="C39" s="5" t="str">
        <x:v>graph/invariants.yaml</x:v>
      </x:c>
      <x:c r="D39" s="5" t="str">
        <x:v>graph/</x:v>
      </x:c>
      <x:c r="E39" s="5" t="str">
        <x:v>graph/invariants.yaml</x:v>
      </x:c>
      <x:c r="F39" s="5" t="str">
        <x:v>YAML</x:v>
      </x:c>
      <x:c r="G39" s="72" t="n">
        <x:v>9895</x:v>
      </x:c>
      <x:c r="H39" s="73" t="n">
        <x:f>G39/'来源与约定'!$B$5</x:f>
        <x:v>9.6630859375</x:v>
      </x:c>
      <x:c r="I39" s="5" t="str">
        <x:v>质量校验规则集：定义总分一致、缺值处理、数值绑定等必须保持的条件，供闸门校验使用。
本包：18项不变式；包含来源哈希、原文回填、面积汇总、投资和资金等检查。</x:v>
      </x:c>
      <x:c r="J39" s="5" t="str">
        <x:v>已生成；保存校验定义，不是一次校验结果；结果看gate_report.yaml。</x:v>
      </x:c>
      <x:c r="K39" s="46" t="str">
        <x:v>S1 §1.2/1.5/2.2；S3 graph/invariants.yaml</x:v>
      </x:c>
      <x:c r="L39" s="56" t="str">
        <x:v>总览第22行</x:v>
      </x:c>
    </x:row>
    <x:row r="40" ht="106" customHeight="1">
      <x:c r="A40" s="81" t="n">
        <x:v>34</x:v>
      </x:c>
      <x:c r="B40" s="81" t="n">
        <x:v>17</x:v>
      </x:c>
      <x:c r="C40" s="26" t="str">
        <x:v>graph/graph.yaml</x:v>
      </x:c>
      <x:c r="D40" s="26" t="str">
        <x:v>graph/</x:v>
      </x:c>
      <x:c r="E40" s="26" t="str">
        <x:v>graph/graph.yaml</x:v>
      </x:c>
      <x:c r="F40" s="26" t="str">
        <x:v>YAML</x:v>
      </x:c>
      <x:c r="G40" s="74" t="n">
        <x:v>1323873</x:v>
      </x:c>
      <x:c r="H40" s="75" t="n">
        <x:f>G40/'来源与约定'!$B$5</x:f>
        <x:v>1292.8447265625</x:v>
      </x:c>
      <x:c r="I40" s="26" t="str">
        <x:v>将节点、规则、关系等合并到一份图谱快照，供引擎单文件加载、归档、导入导出或迁移。
本包：合并节点、规则、关系、论断、不变式、证据轻节点、章节、切块、冲突和缺口。</x:v>
      </x:c>
      <x:c r="J40" s="26" t="str">
        <x:v>已生成；与分项图文件存在快照重复，不是应整包喂给写作Agent的上下文。</x:v>
      </x:c>
      <x:c r="K40" s="54" t="str">
        <x:v>S1 §1.2/1.5/2.2；S3 graph/graph.yaml</x:v>
      </x:c>
      <x:c r="L40" s="58" t="str">
        <x:v>总览第23行</x:v>
      </x:c>
    </x:row>
    <x:row r="41" ht="91" customHeight="1">
      <x:c r="A41" s="80" t="n">
        <x:v>35</x:v>
      </x:c>
      <x:c r="B41" s="80" t="n">
        <x:v>18</x:v>
      </x:c>
      <x:c r="C41" s="5" t="str">
        <x:v>evidence/evidence.yaml</x:v>
      </x:c>
      <x:c r="D41" s="5" t="str">
        <x:v>evidence/</x:v>
      </x:c>
      <x:c r="E41" s="5" t="str">
        <x:v>evidence/evidence.yaml</x:v>
      </x:c>
      <x:c r="F41" s="5" t="str">
        <x:v>YAML</x:v>
      </x:c>
      <x:c r="G41" s="72" t="n">
        <x:v>24981</x:v>
      </x:c>
      <x:c r="H41" s="73" t="n">
        <x:f>G41/'来源与约定'!$B$5</x:f>
        <x:v>24.3955078125</x:v>
      </x:c>
      <x:c r="I41" s="5" t="str">
        <x:v>证据目录与状态台账：记录出处、版本、日期、可信边界和摘录路径，回答每项事实依据何在。
本包：12个证据入口：业务原文1项＋内嵌内部资料11项；指向20段摘录。</x:v>
      </x:c>
      <x:c r="J41" s="5" t="str">
        <x:v>已生成；仅业务原文完整提供，11项内部资料不等于取得11份完整原件。</x:v>
      </x:c>
      <x:c r="K41" s="46" t="str">
        <x:v>S1 §1.2/1.5/2.2；S3 evidence/evidence.yaml</x:v>
      </x:c>
      <x:c r="L41" s="56" t="str">
        <x:v>总览第24行</x:v>
      </x:c>
    </x:row>
    <x:row r="42" ht="91" customHeight="1">
      <x:c r="A42" s="81" t="n">
        <x:v>36</x:v>
      </x:c>
      <x:c r="B42" s="81" t="n">
        <x:v>19</x:v>
      </x:c>
      <x:c r="C42" s="26" t="str">
        <x:v>evidence/excerpts/*.md</x:v>
      </x:c>
      <x:c r="D42" s="26" t="str">
        <x:v>evidence/excerpts/</x:v>
      </x:c>
      <x:c r="E42" s="26" t="str">
        <x:v>evidence/excerpts/EX-01-01.md</x:v>
      </x:c>
      <x:c r="F42" s="26" t="str">
        <x:v>Markdown</x:v>
      </x:c>
      <x:c r="G42" s="74" t="n">
        <x:v>374</x:v>
      </x:c>
      <x:c r="H42" s="75" t="n">
        <x:f>G42/'来源与约定'!$B$5</x:f>
        <x:v>0.365234375</x:v>
      </x:c>
      <x:c r="I42" s="26" t="str">
        <x:v>EV-01《销售需求预测备忘录》摘录。
内容起始：摘录：T-240拟导入项目首个运营年度为2027年10月至2028年9月，甲客户118,000套、乙客户62,000套；正常…
用于核实引用，原文片段不随情景改值。</x:v>
      </x:c>
      <x:c r="J42" s="26" t="str">
        <x:v>已生成；摘录冻结。新情景改值应复核引用，不能把历史摘录一起改掉。</x:v>
      </x:c>
      <x:c r="K42" s="54" t="str">
        <x:v>S3 evidence/evidence.yaml#EV-01.excerpts/EX-01-01；原文第17页；字符[14911,15075)</x:v>
      </x:c>
      <x:c r="L42" s="58" t="str">
        <x:v>总览第25行</x:v>
      </x:c>
    </x:row>
    <x:row r="43" ht="121" customHeight="1">
      <x:c r="A43" s="80" t="n">
        <x:v>37</x:v>
      </x:c>
      <x:c r="B43" s="80" t="n">
        <x:v>19</x:v>
      </x:c>
      <x:c r="C43" s="5" t="str">
        <x:v>evidence/excerpts/*.md</x:v>
      </x:c>
      <x:c r="D43" s="5" t="str">
        <x:v>evidence/excerpts/</x:v>
      </x:c>
      <x:c r="E43" s="5" t="str">
        <x:v>evidence/excerpts/EX-02-01.md</x:v>
      </x:c>
      <x:c r="F43" s="5" t="str">
        <x:v>Markdown</x:v>
      </x:c>
      <x:c r="G43" s="72" t="n">
        <x:v>340</x:v>
      </x:c>
      <x:c r="H43" s="73" t="n">
        <x:f>G43/'来源与约定'!$B$5</x:f>
        <x:v>0.33203125</x:v>
      </x:c>
      <x:c r="I43" s="5" t="str">
        <x:v>EV-02《装备方案预比较与能力说明》摘录。
内容起始：摘录：B方案配置相同焊接与检测线2条，按300天/年、2班/天、8小时/班规划，单线设计毛速率30套/小时。有效开动率90%…
用于核实引用，原文片段不随情景改值。</x:v>
      </x:c>
      <x:c r="J43" s="5" t="str">
        <x:v>已生成；摘录冻结。新情景改值应复核引用，不能把历史摘录一起改掉。</x:v>
      </x:c>
      <x:c r="K43" s="46" t="str">
        <x:v>S3 evidence/evidence.yaml#EV-02.excerpts/EX-02-01；原文第17页；字符[15105,15231)</x:v>
      </x:c>
      <x:c r="L43" s="56" t="str">
        <x:v>总览第25行</x:v>
      </x:c>
    </x:row>
    <x:row r="44" ht="121" customHeight="1">
      <x:c r="A44" s="81" t="n">
        <x:v>38</x:v>
      </x:c>
      <x:c r="B44" s="81" t="n">
        <x:v>19</x:v>
      </x:c>
      <x:c r="C44" s="26" t="str">
        <x:v>evidence/excerpts/*.md</x:v>
      </x:c>
      <x:c r="D44" s="26" t="str">
        <x:v>evidence/excerpts/</x:v>
      </x:c>
      <x:c r="E44" s="26" t="str">
        <x:v>evidence/excerpts/EX-02-02.md</x:v>
      </x:c>
      <x:c r="F44" s="26" t="str">
        <x:v>Markdown</x:v>
      </x:c>
      <x:c r="G44" s="74" t="n">
        <x:v>391</x:v>
      </x:c>
      <x:c r="H44" s="75" t="n">
        <x:f>G44/'来源与约定'!$B$5</x:f>
        <x:v>0.3818359375</x:v>
      </x:c>
      <x:c r="I44" s="26" t="str">
        <x:v>EV-02《装备方案预比较与能力说明》摘录。
内容起始：摘录：A方案强化旧线，预计合格能力21.00万套/年、融资前资金需求5,800.00万元、8个月实施；C方案新建三线单元，预…
用于核实引用，原文片段不随情景改值。</x:v>
      </x:c>
      <x:c r="J44" s="26" t="str">
        <x:v>已生成；摘录冻结。新情景改值应复核引用，不能把历史摘录一起改掉。</x:v>
      </x:c>
      <x:c r="K44" s="54" t="str">
        <x:v>S3 evidence/evidence.yaml#EV-02.excerpts/EX-02-02；原文第17页；字符[15233,15386)</x:v>
      </x:c>
      <x:c r="L44" s="58" t="str">
        <x:v>总览第25行</x:v>
      </x:c>
    </x:row>
    <x:row r="45" ht="121" customHeight="1">
      <x:c r="A45" s="80" t="n">
        <x:v>39</x:v>
      </x:c>
      <x:c r="B45" s="80" t="n">
        <x:v>19</x:v>
      </x:c>
      <x:c r="C45" s="5" t="str">
        <x:v>evidence/excerpts/*.md</x:v>
      </x:c>
      <x:c r="D45" s="5" t="str">
        <x:v>evidence/excerpts/</x:v>
      </x:c>
      <x:c r="E45" s="5" t="str">
        <x:v>evidence/excerpts/EX-03-01.md</x:v>
      </x:c>
      <x:c r="F45" s="5" t="str">
        <x:v>Markdown</x:v>
      </x:c>
      <x:c r="G45" s="72" t="n">
        <x:v>269</x:v>
      </x:c>
      <x:c r="H45" s="73" t="n">
        <x:f>G45/'来源与约定'!$B$5</x:f>
        <x:v>0.2626953125</x:v>
      </x:c>
      <x:c r="I45" s="5" t="str">
        <x:v>EV-03《禾进装备及配套采购询价摘要》摘录。
内容起始：摘录：禾进装备WLD-30自动焊接线报价14,800,000元/条，拟购2条，含机器人、约定夹具及控制系统，不含安装集成。有…
用于核实引用，原文片段不随情景改值。</x:v>
      </x:c>
      <x:c r="J45" s="5" t="str">
        <x:v>已生成；摘录冻结。新情景改值应复核引用，不能把历史摘录一起改掉。</x:v>
      </x:c>
      <x:c r="K45" s="46" t="str">
        <x:v>S3 evidence/evidence.yaml#EV-03.excerpts/EX-03-01；原文第17页；字符[15413,15520)</x:v>
      </x:c>
      <x:c r="L45" s="56" t="str">
        <x:v>总览第25行</x:v>
      </x:c>
    </x:row>
    <x:row r="46" ht="106" customHeight="1">
      <x:c r="A46" s="81" t="n">
        <x:v>40</x:v>
      </x:c>
      <x:c r="B46" s="81" t="n">
        <x:v>19</x:v>
      </x:c>
      <x:c r="C46" s="26" t="str">
        <x:v>evidence/excerpts/*.md</x:v>
      </x:c>
      <x:c r="D46" s="26" t="str">
        <x:v>evidence/excerpts/</x:v>
      </x:c>
      <x:c r="E46" s="26" t="str">
        <x:v>evidence/excerpts/EX-03-02.md</x:v>
      </x:c>
      <x:c r="F46" s="26" t="str">
        <x:v>Markdown</x:v>
      </x:c>
      <x:c r="G46" s="74" t="n">
        <x:v>295</x:v>
      </x:c>
      <x:c r="H46" s="75" t="n">
        <x:f>G46/'来源与约定'!$B$5</x:f>
        <x:v>0.2880859375</x:v>
      </x:c>
      <x:c r="I46" s="26" t="str">
        <x:v>EV-03《禾进装备及配套采购询价摘要》摘录。
内容起始：配套询价摘录：精加工4台，每台210.00万元；气密检测2套，每套150.00万元；在线尺寸与终检2套，每套120.00万元…
用于核实引用，原文片段不随情景改值。</x:v>
      </x:c>
      <x:c r="J46" s="26" t="str">
        <x:v>已生成；摘录冻结。新情景改值应复核引用，不能把历史摘录一起改掉。</x:v>
      </x:c>
      <x:c r="K46" s="54" t="str">
        <x:v>S3 evidence/evidence.yaml#EV-03.excerpts/EX-03-02；原文第17页；字符[15522,15643)</x:v>
      </x:c>
      <x:c r="L46" s="58" t="str">
        <x:v>总览第25行</x:v>
      </x:c>
    </x:row>
    <x:row r="47" ht="106" customHeight="1">
      <x:c r="A47" s="80" t="n">
        <x:v>41</x:v>
      </x:c>
      <x:c r="B47" s="80" t="n">
        <x:v>19</x:v>
      </x:c>
      <x:c r="C47" s="5" t="str">
        <x:v>evidence/excerpts/*.md</x:v>
      </x:c>
      <x:c r="D47" s="5" t="str">
        <x:v>evidence/excerpts/</x:v>
      </x:c>
      <x:c r="E47" s="5" t="str">
        <x:v>evidence/excerpts/EX-04-01.md</x:v>
      </x:c>
      <x:c r="F47" s="5" t="str">
        <x:v>Markdown</x:v>
      </x:c>
      <x:c r="G47" s="72" t="n">
        <x:v>345</x:v>
      </x:c>
      <x:c r="H47" s="73" t="n">
        <x:f>G47/'来源与约定'!$B$5</x:f>
        <x:v>0.3369140625</x:v>
      </x:c>
      <x:c r="I47" s="5" t="str">
        <x:v>EV-04《二号厂房改造初估及面积登记》摘录。
内容起始：摘录：二号厂房总建筑面积6,000平方米，技改使用4,800平方米，其中生产2,800、周转900、通道600、质量设备支持…
用于核实引用，原文片段不随情景改值。</x:v>
      </x:c>
      <x:c r="J47" s="5" t="str">
        <x:v>已生成；摘录冻结。新情景改值应复核引用，不能把历史摘录一起改掉。</x:v>
      </x:c>
      <x:c r="K47" s="46" t="str">
        <x:v>S3 evidence/evidence.yaml#EV-04.excerpts/EX-04-01；原文第17页；字符[15668,15813)</x:v>
      </x:c>
      <x:c r="L47" s="56" t="str">
        <x:v>总览第25行</x:v>
      </x:c>
    </x:row>
    <x:row r="48" ht="121" customHeight="1">
      <x:c r="A48" s="81" t="n">
        <x:v>42</x:v>
      </x:c>
      <x:c r="B48" s="81" t="n">
        <x:v>19</x:v>
      </x:c>
      <x:c r="C48" s="26" t="str">
        <x:v>evidence/excerpts/*.md</x:v>
      </x:c>
      <x:c r="D48" s="26" t="str">
        <x:v>evidence/excerpts/</x:v>
      </x:c>
      <x:c r="E48" s="26" t="str">
        <x:v>evidence/excerpts/EX-04-02.md</x:v>
      </x:c>
      <x:c r="F48" s="26" t="str">
        <x:v>Markdown</x:v>
      </x:c>
      <x:c r="G48" s="74" t="n">
        <x:v>269</x:v>
      </x:c>
      <x:c r="H48" s="75" t="n">
        <x:f>G48/'来源与约定'!$B$5</x:f>
        <x:v>0.2626953125</x:v>
      </x:c>
      <x:c r="I48" s="26" t="str">
        <x:v>EV-04《二号厂房改造初估及面积登记》摘录。
内容起始：摘录：工程建设其他费用按设计与项目管理156.00万元、前期检测及准备65.00万元、培训与首批专用备件110.00万元暂列…
用于核实引用，原文片段不随情景改值。</x:v>
      </x:c>
      <x:c r="J48" s="26" t="str">
        <x:v>已生成；摘录冻结。新情景改值应复核引用，不能把历史摘录一起改掉。</x:v>
      </x:c>
      <x:c r="K48" s="54" t="str">
        <x:v>S3 evidence/evidence.yaml#EV-04.excerpts/EX-04-02；原文第17页；字符[15815,15916)</x:v>
      </x:c>
      <x:c r="L48" s="58" t="str">
        <x:v>总览第25行</x:v>
      </x:c>
    </x:row>
    <x:row r="49" ht="106" customHeight="1">
      <x:c r="A49" s="80" t="n">
        <x:v>43</x:v>
      </x:c>
      <x:c r="B49" s="80" t="n">
        <x:v>19</x:v>
      </x:c>
      <x:c r="C49" s="5" t="str">
        <x:v>evidence/excerpts/*.md</x:v>
      </x:c>
      <x:c r="D49" s="5" t="str">
        <x:v>evidence/excerpts/</x:v>
      </x:c>
      <x:c r="E49" s="5" t="str">
        <x:v>evidence/excerpts/EX-05-01.md</x:v>
      </x:c>
      <x:c r="F49" s="5" t="str">
        <x:v>Markdown</x:v>
      </x:c>
      <x:c r="G49" s="72" t="n">
        <x:v>341</x:v>
      </x:c>
      <x:c r="H49" s="73" t="n">
        <x:f>G49/'来源与约定'!$B$5</x:f>
        <x:v>0.3330078125</x:v>
      </x:c>
      <x:c r="I49" s="5" t="str">
        <x:v>EV-05《财务测算参数确认单》摘录。
内容起始：摘录：对T-240按合格销售套测算。售价1,280元，主要材料960元，焊接加工耗材38元，外协表面处理28元，包装物流25…
用于核实引用，原文片段不随情景改值。</x:v>
      </x:c>
      <x:c r="J49" s="5" t="str">
        <x:v>已生成；摘录冻结。新情景改值应复核引用，不能把历史摘录一起改掉。</x:v>
      </x:c>
      <x:c r="K49" s="46" t="str">
        <x:v>S3 evidence/evidence.yaml#EV-05.excerpts/EX-05-01；原文第18页；字符[15961,16094)</x:v>
      </x:c>
      <x:c r="L49" s="56" t="str">
        <x:v>总览第25行</x:v>
      </x:c>
    </x:row>
    <x:row r="50" ht="91" customHeight="1">
      <x:c r="A50" s="81" t="n">
        <x:v>44</x:v>
      </x:c>
      <x:c r="B50" s="81" t="n">
        <x:v>19</x:v>
      </x:c>
      <x:c r="C50" s="26" t="str">
        <x:v>evidence/excerpts/*.md</x:v>
      </x:c>
      <x:c r="D50" s="26" t="str">
        <x:v>evidence/excerpts/</x:v>
      </x:c>
      <x:c r="E50" s="26" t="str">
        <x:v>evidence/excerpts/EX-05-02.md</x:v>
      </x:c>
      <x:c r="F50" s="26" t="str">
        <x:v>Markdown</x:v>
      </x:c>
      <x:c r="G50" s="74" t="n">
        <x:v>268</x:v>
      </x:c>
      <x:c r="H50" s="75" t="n">
        <x:f>G50/'来源与约定'!$B$5</x:f>
        <x:v>0.26171875</x:v>
      </x:c>
      <x:c r="I50" s="26" t="str">
        <x:v>EV-05《财务测算参数确认单》摘录。
内容起始：摘录：年度人均综合付现成本18.00万元；维护120.00万元、管理技术支持240.00万元、其他固定支出96.00万元按年…
用于核实引用，原文片段不随情景改值。</x:v>
      </x:c>
      <x:c r="J50" s="26" t="str">
        <x:v>已生成；摘录冻结。新情景改值应复核引用，不能把历史摘录一起改掉。</x:v>
      </x:c>
      <x:c r="K50" s="54" t="str">
        <x:v>S3 evidence/evidence.yaml#EV-05.excerpts/EX-05-02；原文第18页；字符[16096,16200)</x:v>
      </x:c>
      <x:c r="L50" s="58" t="str">
        <x:v>总览第25行</x:v>
      </x:c>
    </x:row>
    <x:row r="51" ht="106" customHeight="1">
      <x:c r="A51" s="80" t="n">
        <x:v>45</x:v>
      </x:c>
      <x:c r="B51" s="80" t="n">
        <x:v>19</x:v>
      </x:c>
      <x:c r="C51" s="5" t="str">
        <x:v>evidence/excerpts/*.md</x:v>
      </x:c>
      <x:c r="D51" s="5" t="str">
        <x:v>evidence/excerpts/</x:v>
      </x:c>
      <x:c r="E51" s="5" t="str">
        <x:v>evidence/excerpts/EX-05-03.md</x:v>
      </x:c>
      <x:c r="F51" s="5" t="str">
        <x:v>Markdown</x:v>
      </x:c>
      <x:c r="G51" s="72" t="n">
        <x:v>259</x:v>
      </x:c>
      <x:c r="H51" s="73" t="n">
        <x:f>G51/'来源与约定'!$B$5</x:f>
        <x:v>0.2529296875</x:v>
      </x:c>
      <x:c r="I51" s="5" t="str">
        <x:v>EV-05《财务测算参数确认单》摘录。
内容起始：摘录：安装集成费以全部设备与系统购置费为基数按6%计取；基本预备费按工程费用加工程建设其他费用的8%计取。建设投资不含营运资…
用于核实引用，原文片段不随情景改值。</x:v>
      </x:c>
      <x:c r="J51" s="5" t="str">
        <x:v>已生成；摘录冻结。新情景改值应复核引用，不能把历史摘录一起改掉。</x:v>
      </x:c>
      <x:c r="K51" s="46" t="str">
        <x:v>S3 evidence/evidence.yaml#EV-05.excerpts/EX-05-03；原文第18页；字符[16202,16291)</x:v>
      </x:c>
      <x:c r="L51" s="56" t="str">
        <x:v>总览第25行</x:v>
      </x:c>
    </x:row>
    <x:row r="52" ht="106" customHeight="1">
      <x:c r="A52" s="81" t="n">
        <x:v>46</x:v>
      </x:c>
      <x:c r="B52" s="81" t="n">
        <x:v>19</x:v>
      </x:c>
      <x:c r="C52" s="26" t="str">
        <x:v>evidence/excerpts/*.md</x:v>
      </x:c>
      <x:c r="D52" s="26" t="str">
        <x:v>evidence/excerpts/</x:v>
      </x:c>
      <x:c r="E52" s="26" t="str">
        <x:v>evidence/excerpts/EX-05-04.md</x:v>
      </x:c>
      <x:c r="F52" s="26" t="str">
        <x:v>Markdown</x:v>
      </x:c>
      <x:c r="G52" s="74" t="n">
        <x:v>291</x:v>
      </x:c>
      <x:c r="H52" s="75" t="n">
        <x:f>G52/'来源与约定'!$B$5</x:f>
        <x:v>0.2841796875</x:v>
      </x:c>
      <x:c r="I52" s="26" t="str">
        <x:v>EV-05《财务测算参数确认单》摘录。
内容起始：摘录：周转基数360天；应收按收入45天，综合存货按变动成本30天，材料应付按材料成本60天，最低现金300.00万元。净营…
用于核实引用，原文片段不随情景改值。</x:v>
      </x:c>
      <x:c r="J52" s="26" t="str">
        <x:v>已生成；摘录冻结。新情景改值应复核引用，不能把历史摘录一起改掉。</x:v>
      </x:c>
      <x:c r="K52" s="54" t="str">
        <x:v>S3 evidence/evidence.yaml#EV-05.excerpts/EX-05-04；原文第18页；字符[16293,16400)</x:v>
      </x:c>
      <x:c r="L52" s="58" t="str">
        <x:v>总览第25行</x:v>
      </x:c>
    </x:row>
    <x:row r="53" ht="106" customHeight="1">
      <x:c r="A53" s="80" t="n">
        <x:v>47</x:v>
      </x:c>
      <x:c r="B53" s="80" t="n">
        <x:v>19</x:v>
      </x:c>
      <x:c r="C53" s="5" t="str">
        <x:v>evidence/excerpts/*.md</x:v>
      </x:c>
      <x:c r="D53" s="5" t="str">
        <x:v>evidence/excerpts/</x:v>
      </x:c>
      <x:c r="E53" s="5" t="str">
        <x:v>evidence/excerpts/EX-05-05.md</x:v>
      </x:c>
      <x:c r="F53" s="5" t="str">
        <x:v>Markdown</x:v>
      </x:c>
      <x:c r="G53" s="72" t="n">
        <x:v>393</x:v>
      </x:c>
      <x:c r="H53" s="73" t="n">
        <x:f>G53/'来源与约定'!$B$5</x:f>
        <x:v>0.3837890625</x:v>
      </x:c>
      <x:c r="I53" s="5" t="str">
        <x:v>EV-05《财务测算参数确认单》摘录。
内容起始：摘录：经营现金盈余为收入减变动成本减固定付现成本。完整建设期内无经营收入，首年按导入量，后续按正常年。初始投入采用建设投资与…
用于核实引用，原文片段不随情景改值。</x:v>
      </x:c>
      <x:c r="J53" s="5" t="str">
        <x:v>已生成；摘录冻结。新情景改值应复核引用，不能把历史摘录一起改掉。</x:v>
      </x:c>
      <x:c r="K53" s="46" t="str">
        <x:v>S3 evidence/evidence.yaml#EV-05.excerpts/EX-05-05；原文第18页；字符[16402,16533)</x:v>
      </x:c>
      <x:c r="L53" s="56" t="str">
        <x:v>总览第25行</x:v>
      </x:c>
    </x:row>
    <x:row r="54" ht="121" customHeight="1">
      <x:c r="A54" s="81" t="n">
        <x:v>48</x:v>
      </x:c>
      <x:c r="B54" s="81" t="n">
        <x:v>19</x:v>
      </x:c>
      <x:c r="C54" s="26" t="str">
        <x:v>evidence/excerpts/*.md</x:v>
      </x:c>
      <x:c r="D54" s="26" t="str">
        <x:v>evidence/excerpts/</x:v>
      </x:c>
      <x:c r="E54" s="26" t="str">
        <x:v>evidence/excerpts/EX-06A-01.md</x:v>
      </x:c>
      <x:c r="F54" s="26" t="str">
        <x:v>Markdown</x:v>
      </x:c>
      <x:c r="G54" s="74" t="n">
        <x:v>184</x:v>
      </x:c>
      <x:c r="H54" s="75" t="n">
        <x:f>G54/'来源与约定'!$B$5</x:f>
        <x:v>0.1796875</x:v>
      </x:c>
      <x:c r="I54" s="26" t="str">
        <x:v>EV-06A《接入点配电可用余量初查表》摘录。
内容起始：资料06A摘录：统计基准2026年9月1日，二号厂房现有接入点扣除已投运及已批准项目后的可用有功余量800kW。记录由设备能…
用于核实引用，原文片段不随情景改值。</x:v>
      </x:c>
      <x:c r="J54" s="26" t="str">
        <x:v>已生成；摘录冻结。新情景改值应复核引用，不能把历史摘录一起改掉。</x:v>
      </x:c>
      <x:c r="K54" s="54" t="str">
        <x:v>S3 evidence/evidence.yaml#EV-06A.excerpts/EX-06A-01；原文第18页；字符[16564,16636)</x:v>
      </x:c>
      <x:c r="L54" s="58" t="str">
        <x:v>总览第25行</x:v>
      </x:c>
    </x:row>
    <x:row r="55" ht="106" customHeight="1">
      <x:c r="A55" s="80" t="n">
        <x:v>49</x:v>
      </x:c>
      <x:c r="B55" s="80" t="n">
        <x:v>19</x:v>
      </x:c>
      <x:c r="C55" s="5" t="str">
        <x:v>evidence/excerpts/*.md</x:v>
      </x:c>
      <x:c r="D55" s="5" t="str">
        <x:v>evidence/excerpts/</x:v>
      </x:c>
      <x:c r="E55" s="5" t="str">
        <x:v>evidence/excerpts/EX-06B-01.md</x:v>
      </x:c>
      <x:c r="F55" s="5" t="str">
        <x:v>Markdown</x:v>
      </x:c>
      <x:c r="G55" s="72" t="n">
        <x:v>203</x:v>
      </x:c>
      <x:c r="H55" s="73" t="n">
        <x:f>G55/'来源与约定'!$B$5</x:f>
        <x:v>0.1982421875</x:v>
      </x:c>
      <x:c r="I55" s="5" t="str">
        <x:v>EV-06B《接入点负荷复核记录》摘录。
内容起始：资料06B摘录：同一统计基准、同一接入点及扣减范围，可用有功余量650kW。记录由运营部于9月16日形成；未附与初查表的差异…
用于核实引用，原文片段不随情景改值。</x:v>
      </x:c>
      <x:c r="J55" s="5" t="str">
        <x:v>已生成；摘录冻结。新情景改值应复核引用，不能把历史摘录一起改掉。</x:v>
      </x:c>
      <x:c r="K55" s="46" t="str">
        <x:v>S3 evidence/evidence.yaml#EV-06B.excerpts/EX-06B-01；原文第18页；字符[16638,16713)</x:v>
      </x:c>
      <x:c r="L55" s="56" t="str">
        <x:v>总览第25行</x:v>
      </x:c>
    </x:row>
    <x:row r="56" ht="106" customHeight="1">
      <x:c r="A56" s="81" t="n">
        <x:v>50</x:v>
      </x:c>
      <x:c r="B56" s="81" t="n">
        <x:v>19</x:v>
      </x:c>
      <x:c r="C56" s="26" t="str">
        <x:v>evidence/excerpts/*.md</x:v>
      </x:c>
      <x:c r="D56" s="26" t="str">
        <x:v>evidence/excerpts/</x:v>
      </x:c>
      <x:c r="E56" s="26" t="str">
        <x:v>evidence/excerpts/EX-07-01.md</x:v>
      </x:c>
      <x:c r="F56" s="26" t="str">
        <x:v>Markdown</x:v>
      </x:c>
      <x:c r="G56" s="74" t="n">
        <x:v>288</x:v>
      </x:c>
      <x:c r="H56" s="75" t="n">
        <x:f>G56/'来源与约定'!$B$5</x:f>
        <x:v>0.28125</x:v>
      </x:c>
      <x:c r="I56" s="26" t="str">
        <x:v>EV-07《现场踏勘问题清单》摘录。
内容起始：摘录：本轮仅完成现有厂房现场踏勘。焊接烟尘治理布置、噪声控制、局部基础及安全设施适配方案尚需深化，未形成全部专项条件的最终确…
用于核实引用，原文片段不随情景改值。</x:v>
      </x:c>
      <x:c r="J56" s="26" t="str">
        <x:v>已生成；摘录冻结。新情景改值应复核引用，不能把历史摘录一起改掉。</x:v>
      </x:c>
      <x:c r="K56" s="54" t="str">
        <x:v>S3 evidence/evidence.yaml#EV-07.excerpts/EX-07-01；原文第19页；字符[16849,16949)</x:v>
      </x:c>
      <x:c r="L56" s="58" t="str">
        <x:v>总览第25行</x:v>
      </x:c>
    </x:row>
    <x:row r="57" ht="106" customHeight="1">
      <x:c r="A57" s="80" t="n">
        <x:v>51</x:v>
      </x:c>
      <x:c r="B57" s="80" t="n">
        <x:v>19</x:v>
      </x:c>
      <x:c r="C57" s="5" t="str">
        <x:v>evidence/excerpts/*.md</x:v>
      </x:c>
      <x:c r="D57" s="5" t="str">
        <x:v>evidence/excerpts/</x:v>
      </x:c>
      <x:c r="E57" s="5" t="str">
        <x:v>evidence/excerpts/EX-08-01.md</x:v>
      </x:c>
      <x:c r="F57" s="5" t="str">
        <x:v>Markdown</x:v>
      </x:c>
      <x:c r="G57" s="72" t="n">
        <x:v>369</x:v>
      </x:c>
      <x:c r="H57" s="73" t="n">
        <x:f>G57/'来源与约定'!$B$5</x:f>
        <x:v>0.3603515625</x:v>
      </x:c>
      <x:c r="I57" s="5" t="str">
        <x:v>EV-08《项目预审会议纪要》摘录。
内容起始：摘录：本轮以正常年需求覆盖、融资前资金需求不超过9,000.00万元、实施期不超过12个月及融资前税前简化静态回收期不超过4…
用于核实引用，原文片段不随情景改值。</x:v>
      </x:c>
      <x:c r="J57" s="5" t="str">
        <x:v>已生成；摘录冻结。新情景改值应复核引用，不能把历史摘录一起改掉。</x:v>
      </x:c>
      <x:c r="K57" s="46" t="str">
        <x:v>S3 evidence/evidence.yaml#EV-08.excerpts/EX-08-01；原文第19页；字符[16975,17118)</x:v>
      </x:c>
      <x:c r="L57" s="56" t="str">
        <x:v>总览第25行</x:v>
      </x:c>
    </x:row>
    <x:row r="58" ht="106" customHeight="1">
      <x:c r="A58" s="81" t="n">
        <x:v>52</x:v>
      </x:c>
      <x:c r="B58" s="81" t="n">
        <x:v>19</x:v>
      </x:c>
      <x:c r="C58" s="26" t="str">
        <x:v>evidence/excerpts/*.md</x:v>
      </x:c>
      <x:c r="D58" s="26" t="str">
        <x:v>evidence/excerpts/</x:v>
      </x:c>
      <x:c r="E58" s="26" t="str">
        <x:v>evidence/excerpts/EX-08-02.md</x:v>
      </x:c>
      <x:c r="F58" s="26" t="str">
        <x:v>Markdown</x:v>
      </x:c>
      <x:c r="G58" s="74" t="n">
        <x:v>354</x:v>
      </x:c>
      <x:c r="H58" s="75" t="n">
        <x:f>G58/'来源与约定'!$B$5</x:f>
        <x:v>0.345703125</x:v>
      </x:c>
      <x:c r="I58" s="26" t="str">
        <x:v>EV-08《项目预审会议纪要》摘录。
内容起始：摘录：银行未明确利率、期限、还本安排、建设期提款节奏和其他融资收费，建设期利息及完整融资成本待测。下一阶段可以继续技术商务深…
用于核实引用，原文片段不随情景改值。</x:v>
      </x:c>
      <x:c r="J58" s="26" t="str">
        <x:v>已生成；摘录冻结。新情景改值应复核引用，不能把历史摘录一起改掉。</x:v>
      </x:c>
      <x:c r="K58" s="54" t="str">
        <x:v>S3 evidence/evidence.yaml#EV-08.excerpts/EX-08-02；原文第19页；字符[17120,17238)</x:v>
      </x:c>
      <x:c r="L58" s="58" t="str">
        <x:v>总览第25行</x:v>
      </x:c>
    </x:row>
    <x:row r="59" ht="91" customHeight="1">
      <x:c r="A59" s="80" t="n">
        <x:v>53</x:v>
      </x:c>
      <x:c r="B59" s="80" t="n">
        <x:v>19</x:v>
      </x:c>
      <x:c r="C59" s="5" t="str">
        <x:v>evidence/excerpts/*.md</x:v>
      </x:c>
      <x:c r="D59" s="5" t="str">
        <x:v>evidence/excerpts/</x:v>
      </x:c>
      <x:c r="E59" s="5" t="str">
        <x:v>evidence/excerpts/EX-09-01.md</x:v>
      </x:c>
      <x:c r="F59" s="5" t="str">
        <x:v>Markdown</x:v>
      </x:c>
      <x:c r="G59" s="72" t="n">
        <x:v>259</x:v>
      </x:c>
      <x:c r="H59" s="73" t="n">
        <x:f>G59/'来源与约定'!$B$5</x:f>
        <x:v>0.2529296875</x:v>
      </x:c>
      <x:c r="I59" s="5" t="str">
        <x:v>EV-09《2025年旧业务经营摘要》摘录。
内容起始：摘录：2025年T-200旧业务客户需求216,000套，其中旧线厂内交付180,000套，经批准外协交付36,000套；旧…
用于核实引用，原文片段不随情景改值。</x:v>
      </x:c>
      <x:c r="J59" s="5" t="str">
        <x:v>已生成；摘录冻结。新情景改值应复核引用，不能把历史摘录一起改掉。</x:v>
      </x:c>
      <x:c r="K59" s="46" t="str">
        <x:v>S3 evidence/evidence.yaml#EV-09.excerpts/EX-09-01；原文第19页；字符[17268,17381)</x:v>
      </x:c>
      <x:c r="L59" s="56" t="str">
        <x:v>总览第25行</x:v>
      </x:c>
    </x:row>
    <x:row r="60" ht="106" customHeight="1">
      <x:c r="A60" s="81" t="n">
        <x:v>54</x:v>
      </x:c>
      <x:c r="B60" s="81" t="n">
        <x:v>19</x:v>
      </x:c>
      <x:c r="C60" s="26" t="str">
        <x:v>evidence/excerpts/*.md</x:v>
      </x:c>
      <x:c r="D60" s="26" t="str">
        <x:v>evidence/excerpts/</x:v>
      </x:c>
      <x:c r="E60" s="26" t="str">
        <x:v>evidence/excerpts/EX-10-01.md</x:v>
      </x:c>
      <x:c r="F60" s="26" t="str">
        <x:v>Markdown</x:v>
      </x:c>
      <x:c r="G60" s="74" t="n">
        <x:v>331</x:v>
      </x:c>
      <x:c r="H60" s="75" t="n">
        <x:f>G60/'来源与约定'!$B$5</x:f>
        <x:v>0.3232421875</x:v>
      </x:c>
      <x:c r="I60" s="26" t="str">
        <x:v>EV-10《实施排期与定员测算记录》摘录。
内容起始：摘录：计划2026年10月1日启动，2027年9月30日完成建设与验收；详细设计2个月、制造与改造5个月、安装联调3个月、试…
用于核实引用，原文片段不随情景改值。</x:v>
      </x:c>
      <x:c r="J60" s="26" t="str">
        <x:v>已生成；摘录冻结。新情景改值应复核引用，不能把历史摘录一起改掉。</x:v>
      </x:c>
      <x:c r="K60" s="54" t="str">
        <x:v>S3 evidence/evidence.yaml#EV-10.excerpts/EX-10-01；原文第19页；字符[17409,17536)</x:v>
      </x:c>
      <x:c r="L60" s="58" t="str">
        <x:v>总览第25行</x:v>
      </x:c>
    </x:row>
    <x:row r="61" ht="106" customHeight="1">
      <x:c r="A61" s="80" t="n">
        <x:v>55</x:v>
      </x:c>
      <x:c r="B61" s="80" t="n">
        <x:v>19</x:v>
      </x:c>
      <x:c r="C61" s="5" t="str">
        <x:v>evidence/excerpts/*.md</x:v>
      </x:c>
      <x:c r="D61" s="5" t="str">
        <x:v>evidence/excerpts/</x:v>
      </x:c>
      <x:c r="E61" s="5" t="str">
        <x:v>evidence/excerpts/EX-10-02.md</x:v>
      </x:c>
      <x:c r="F61" s="5" t="str">
        <x:v>Markdown</x:v>
      </x:c>
      <x:c r="G61" s="72" t="n">
        <x:v>240</x:v>
      </x:c>
      <x:c r="H61" s="73" t="n">
        <x:f>G61/'来源与约定'!$B$5</x:f>
        <x:v>0.234375</x:v>
      </x:c>
      <x:c r="I61" s="5" t="str">
        <x:v>EV-10《实施排期与定员测算记录》摘录。
内容起始：摘录：每条线每班直接操作12人，线数2、班次2；共享支持18人为全项目岗位总人数，不再乘班次。首年即全部到岗。人员费用由财务…
用于核实引用，原文片段不随情景改值。</x:v>
      </x:c>
      <x:c r="J61" s="5" t="str">
        <x:v>已生成；摘录冻结。新情景改值应复核引用，不能把历史摘录一起改掉。</x:v>
      </x:c>
      <x:c r="K61" s="46" t="str">
        <x:v>S3 evidence/evidence.yaml#EV-10.excerpts/EX-10-02；原文第19页；字符[17538,17622)</x:v>
      </x:c>
      <x:c r="L61" s="56" t="str">
        <x:v>总览第25行</x:v>
      </x:c>
    </x:row>
    <x:row r="62" ht="91" customHeight="1">
      <x:c r="A62" s="81" t="n">
        <x:v>56</x:v>
      </x:c>
      <x:c r="B62" s="81" t="n">
        <x:v>20</x:v>
      </x:c>
      <x:c r="C62" s="26" t="str">
        <x:v>reasoning/derivation.yaml</x:v>
      </x:c>
      <x:c r="D62" s="26" t="str">
        <x:v>reasoning/</x:v>
      </x:c>
      <x:c r="E62" s="26" t="str">
        <x:v>reasoning/derivation.yaml</x:v>
      </x:c>
      <x:c r="F62" s="26" t="str">
        <x:v>YAML</x:v>
      </x:c>
      <x:c r="G62" s="74" t="n">
        <x:v>264226</x:v>
      </x:c>
      <x:c r="H62" s="75" t="n">
        <x:f>G62/'来源与约定'!$B$5</x:f>
        <x:v>258.033203125</x:v>
      </x:c>
      <x:c r="I62" s="26" t="str">
        <x:v>逐个结果的推演链与中文解释：列明计算路径、规则和上下游关系，供graph_explain解释结论。
本包：77条推演说明；记录chain及narrative_zh等内容。</x:v>
      </x:c>
      <x:c r="J62" s="26" t="str">
        <x:v>已生成；推演说明数量不等于可执行规则数量，实际规则为74条。</x:v>
      </x:c>
      <x:c r="K62" s="54" t="str">
        <x:v>S1 §1.2/1.5/2.2；S3 reasoning/derivation.yaml</x:v>
      </x:c>
      <x:c r="L62" s="58" t="str">
        <x:v>总览第26行</x:v>
      </x:c>
    </x:row>
    <x:row r="63" ht="91" customHeight="1">
      <x:c r="A63" s="80" t="n">
        <x:v>57</x:v>
      </x:c>
      <x:c r="B63" s="80" t="n">
        <x:v>21</x:v>
      </x:c>
      <x:c r="C63" s="5" t="str">
        <x:v>reasoning/decisions.yaml</x:v>
      </x:c>
      <x:c r="D63" s="5" t="str">
        <x:v>reasoning/</x:v>
      </x:c>
      <x:c r="E63" s="5" t="str">
        <x:v>reasoning/decisions.yaml</x:v>
      </x:c>
      <x:c r="F63" s="5" t="str">
        <x:v>YAML</x:v>
      </x:c>
      <x:c r="G63" s="72" t="n">
        <x:v>16380</x:v>
      </x:c>
      <x:c r="H63" s="73" t="n">
        <x:f>G63/'来源与约定'!$B$5</x:f>
        <x:v>15.99609375</x:v>
      </x:c>
      <x:c r="I63" s="5" t="str">
        <x:v>判定与方案取舍记录：保存选了什么、依据、理由、被否决项及什么条件下需要重新讨论。
本包：15条记录；包含确定性约束判定及B方案深化等源文决定。</x:v>
      </x:c>
      <x:c r="J63" s="5" t="str">
        <x:v>已生成；记录内部预审和回放，不代表本次抽取作出正式项目审批。</x:v>
      </x:c>
      <x:c r="K63" s="46" t="str">
        <x:v>S1 §1.2/1.5/2.2；S3 reasoning/decisions.yaml</x:v>
      </x:c>
      <x:c r="L63" s="56" t="str">
        <x:v>总览第27行</x:v>
      </x:c>
    </x:row>
    <x:row r="64" ht="76" customHeight="1">
      <x:c r="A64" s="81" t="n">
        <x:v>58</x:v>
      </x:c>
      <x:c r="B64" s="81" t="n">
        <x:v>22</x:v>
      </x:c>
      <x:c r="C64" s="26" t="str">
        <x:v>reasoning/trace.jsonl</x:v>
      </x:c>
      <x:c r="D64" s="26" t="str">
        <x:v>reasoning/</x:v>
      </x:c>
      <x:c r="E64" s="26" t="str">
        <x:v>reasoning/trace.jsonl</x:v>
      </x:c>
      <x:c r="F64" s="26" t="str">
        <x:v>JSONL</x:v>
      </x:c>
      <x:c r="G64" s="74" t="n">
        <x:v>41704</x:v>
      </x:c>
      <x:c r="H64" s="75" t="n">
        <x:f>G64/'来源与约定'!$B$5</x:f>
        <x:v>40.7265625</x:v>
      </x:c>
      <x:c r="I64" s="26" t="str">
        <x:v>入库重算的事件轨迹：按行归档执行顺序、输入输出和校验事件，供审计和故障追查。
本包：76条JSONL记录；保留原入库轨迹，没有伪造新的抽取事件。</x:v>
      </x:c>
      <x:c r="J64" s="26" t="str">
        <x:v>已归档；规范运行态主存为事件流，本包只提供历史归档。</x:v>
      </x:c>
      <x:c r="K64" s="54" t="str">
        <x:v>S1 §1.2/1.5/2.2；S3 reasoning/trace.jsonl</x:v>
      </x:c>
      <x:c r="L64" s="58" t="str">
        <x:v>总览第28行</x:v>
      </x:c>
    </x:row>
    <x:row r="65" ht="76" customHeight="1">
      <x:c r="A65" s="80" t="n">
        <x:v>59</x:v>
      </x:c>
      <x:c r="B65" s="80" t="n">
        <x:v>23</x:v>
      </x:c>
      <x:c r="C65" s="5" t="str">
        <x:v>quality/conflicts.yaml</x:v>
      </x:c>
      <x:c r="D65" s="5" t="str">
        <x:v>quality/</x:v>
      </x:c>
      <x:c r="E65" s="5" t="str">
        <x:v>quality/conflicts.yaml</x:v>
      </x:c>
      <x:c r="F65" s="5" t="str">
        <x:v>YAML</x:v>
      </x:c>
      <x:c r="G65" s="72" t="n">
        <x:v>1613</x:v>
      </x:c>
      <x:c r="H65" s="73" t="n">
        <x:f>G65/'来源与约定'!$B$5</x:f>
        <x:v>1.5751953125</x:v>
      </x:c>
      <x:c r="I65" s="5" t="str">
        <x:v>已识别矛盾的登记表：保留相互冲突的事实、来源、当前状态、责任方和处理要求。
本包：1项配电冲突：同基准、同接入点的800kW与650kW并存。</x:v>
      </x:c>
      <x:c r="J65" s="5" t="str">
        <x:v>已登记未解决；不能按较新或较大值擅自选一个作为唯一事实。</x:v>
      </x:c>
      <x:c r="K65" s="46" t="str">
        <x:v>S1 §1.2/1.5/2.2；S3 quality/conflicts.yaml</x:v>
      </x:c>
      <x:c r="L65" s="56" t="str">
        <x:v>总览第29行</x:v>
      </x:c>
    </x:row>
    <x:row r="66" ht="76" customHeight="1">
      <x:c r="A66" s="81" t="n">
        <x:v>60</x:v>
      </x:c>
      <x:c r="B66" s="81" t="n">
        <x:v>24</x:v>
      </x:c>
      <x:c r="C66" s="26" t="str">
        <x:v>quality/gaps.yaml</x:v>
      </x:c>
      <x:c r="D66" s="26" t="str">
        <x:v>quality/</x:v>
      </x:c>
      <x:c r="E66" s="26" t="str">
        <x:v>quality/gaps.yaml</x:v>
      </x:c>
      <x:c r="F66" s="26" t="str">
        <x:v>YAML</x:v>
      </x:c>
      <x:c r="G66" s="74" t="n">
        <x:v>11261</x:v>
      </x:c>
      <x:c r="H66" s="75" t="n">
        <x:f>G66/'来源与约定'!$B$5</x:f>
        <x:v>10.9970703125</x:v>
      </x:c>
      <x:c r="I66" s="26" t="str">
        <x:v>缺失资料和未知条件的登记表：说明缺什么、影响哪里、是否阻断以及需谁补充。
本包：11类缺口；涵盖融资、商务、验收、专项条件等；图中有10个未定义值。</x:v>
      </x:c>
      <x:c r="J66" s="26" t="str">
        <x:v>已登记未补齐；缺口数量与未定义节点数量不是同一统计口径。</x:v>
      </x:c>
      <x:c r="K66" s="54" t="str">
        <x:v>S1 §1.2/1.5/2.2；S3 quality/gaps.yaml</x:v>
      </x:c>
      <x:c r="L66" s="58" t="str">
        <x:v>总览第30行</x:v>
      </x:c>
    </x:row>
    <x:row r="67" ht="76" customHeight="1">
      <x:c r="A67" s="80" t="n">
        <x:v>61</x:v>
      </x:c>
      <x:c r="B67" s="80" t="n">
        <x:v>25</x:v>
      </x:c>
      <x:c r="C67" s="5" t="str">
        <x:v>quality/gate_report.yaml</x:v>
      </x:c>
      <x:c r="D67" s="5" t="str">
        <x:v>quality/</x:v>
      </x:c>
      <x:c r="E67" s="5" t="str">
        <x:v>quality/gate_report.yaml</x:v>
      </x:c>
      <x:c r="F67" s="5" t="str">
        <x:v>YAML</x:v>
      </x:c>
      <x:c r="G67" s="72" t="n">
        <x:v>10914</x:v>
      </x:c>
      <x:c r="H67" s="73" t="n">
        <x:f>G67/'来源与约定'!$B$5</x:f>
        <x:v>10.658203125</x:v>
      </x:c>
      <x:c r="I67" s="5" t="str">
        <x:v>一次闸门校验的结果报告：汇总通过/阻断、不变式、缺口、冲突及基线回放结果。
本包：verdict为pass_with_notes；含基线回放和原生格式转换检查记录。</x:v>
      </x:c>
      <x:c r="J67" s="5" t="str">
        <x:v>有保留通过；不代表语义召回率100%、项目审批或实施条件已经满足。</x:v>
      </x:c>
      <x:c r="K67" s="46" t="str">
        <x:v>S1 §1.2/1.5/2.2；S3 quality/gate_report.yaml</x:v>
      </x:c>
      <x:c r="L67" s="56" t="str">
        <x:v>总览第31行</x:v>
      </x:c>
    </x:row>
    <x:row r="68" ht="91" customHeight="1">
      <x:c r="A68" s="81" t="n">
        <x:v>62</x:v>
      </x:c>
      <x:c r="B68" s="81" t="n">
        <x:v>26</x:v>
      </x:c>
      <x:c r="C68" s="26" t="str">
        <x:v>style/style_profile.yaml</x:v>
      </x:c>
      <x:c r="D68" s="26" t="str">
        <x:v>style/</x:v>
      </x:c>
      <x:c r="E68" s="26" t="str">
        <x:v>style/style_profile.yaml</x:v>
      </x:c>
      <x:c r="F68" s="26" t="str">
        <x:v>YAML</x:v>
      </x:c>
      <x:c r="G68" s="74" t="n">
        <x:v>8263</x:v>
      </x:c>
      <x:c r="H68" s="75" t="n">
        <x:f>G68/'来源与约定'!$B$5</x:f>
        <x:v>8.0693359375</x:v>
      </x:c>
      <x:c r="I68" s="26" t="str">
        <x:v>写作风格说明：保存句长统计、人称、术语、数字格式、引用体例和无依据结论的禁用要求。
本包：文风测量、数字展示格式、术语、引用和表题形式；保留来源位置。</x:v>
      </x:c>
      <x:c r="J68" s="26" t="str">
        <x:v>已生成；部分禁用要求为本包写作约定，应按文件字段说明理解。</x:v>
      </x:c>
      <x:c r="K68" s="54" t="str">
        <x:v>S1 §1.2/1.5/2.2；S3 style/style_profile.yaml</x:v>
      </x:c>
      <x:c r="L68" s="58" t="str">
        <x:v>总览第32行</x:v>
      </x:c>
    </x:row>
    <x:row r="69" ht="74" customHeight="1">
      <x:c r="A69" s="80" t="n">
        <x:v>63</x:v>
      </x:c>
      <x:c r="B69" s="80" t="n">
        <x:v>27</x:v>
      </x:c>
      <x:c r="C69" s="5" t="str">
        <x:v>style/section_templates/*.yaml</x:v>
      </x:c>
      <x:c r="D69" s="5" t="str">
        <x:v>style/section_templates/</x:v>
      </x:c>
      <x:c r="E69" s="5" t="str">
        <x:v>style/section_templates/FRONT.yaml</x:v>
      </x:c>
      <x:c r="F69" s="5" t="str">
        <x:v>YAML</x:v>
      </x:c>
      <x:c r="G69" s="72" t="n">
        <x:v>1097</x:v>
      </x:c>
      <x:c r="H69" s="73" t="n">
        <x:f>G69/'来源与约定'!$B$5</x:f>
        <x:v>1.0712890625</x:v>
      </x:c>
      <x:c r="I69" s="5" t="str">
        <x:v>《封面》写法骨架。
10个顺序条目、0个表结构；引用占位符切块，不内嵌原项目数值。</x:v>
      </x:c>
      <x:c r="J69" s="5" t="str">
        <x:v>已生成；主章含子节引用，装配须去重；空字数预算/法定模板不补造。</x:v>
      </x:c>
      <x:c r="K69" s="46" t="str">
        <x:v>S3 style/section_templates/FRONT.yaml：section_id=FRONT；outline.yaml</x:v>
      </x:c>
      <x:c r="L69" s="56" t="str">
        <x:v>总览第33行</x:v>
      </x:c>
    </x:row>
    <x:row r="70" ht="74" customHeight="1">
      <x:c r="A70" s="81" t="n">
        <x:v>64</x:v>
      </x:c>
      <x:c r="B70" s="81" t="n">
        <x:v>27</x:v>
      </x:c>
      <x:c r="C70" s="26" t="str">
        <x:v>style/section_templates/*.yaml</x:v>
      </x:c>
      <x:c r="D70" s="26" t="str">
        <x:v>style/section_templates/</x:v>
      </x:c>
      <x:c r="E70" s="26" t="str">
        <x:v>style/section_templates/READ.H1.yaml</x:v>
      </x:c>
      <x:c r="F70" s="26" t="str">
        <x:v>YAML</x:v>
      </x:c>
      <x:c r="G70" s="74" t="n">
        <x:v>946</x:v>
      </x:c>
      <x:c r="H70" s="75" t="n">
        <x:f>G70/'来源与约定'!$B$5</x:f>
        <x:v>0.923828125</x:v>
      </x:c>
      <x:c r="I70" s="26" t="str">
        <x:v>《报告使用说明》写法骨架。
7个顺序条目、1个表结构；引用占位符切块，不内嵌原项目数值。</x:v>
      </x:c>
      <x:c r="J70" s="26" t="str">
        <x:v>已生成；主章含子节引用，装配须去重；空字数预算/法定模板不补造。</x:v>
      </x:c>
      <x:c r="K70" s="54" t="str">
        <x:v>S3 style/section_templates/READ.H1.yaml：section_id=READ.H1；outline.yaml</x:v>
      </x:c>
      <x:c r="L70" s="58" t="str">
        <x:v>总览第33行</x:v>
      </x:c>
    </x:row>
    <x:row r="71" ht="74" customHeight="1">
      <x:c r="A71" s="80" t="n">
        <x:v>65</x:v>
      </x:c>
      <x:c r="B71" s="80" t="n">
        <x:v>27</x:v>
      </x:c>
      <x:c r="C71" s="5" t="str">
        <x:v>style/section_templates/*.yaml</x:v>
      </x:c>
      <x:c r="D71" s="5" t="str">
        <x:v>style/section_templates/</x:v>
      </x:c>
      <x:c r="E71" s="5" t="str">
        <x:v>style/section_templates/READ.yaml</x:v>
      </x:c>
      <x:c r="F71" s="5" t="str">
        <x:v>YAML</x:v>
      </x:c>
      <x:c r="G71" s="72" t="n">
        <x:v>1025</x:v>
      </x:c>
      <x:c r="H71" s="73" t="n">
        <x:f>G71/'来源与约定'!$B$5</x:f>
        <x:v>1.0009765625</x:v>
      </x:c>
      <x:c r="I71" s="5" t="str">
        <x:v>《阅读说明与目录》写法骨架。
8个顺序条目、1个表结构；引用占位符切块，不内嵌原项目数值。</x:v>
      </x:c>
      <x:c r="J71" s="5" t="str">
        <x:v>已生成；主章含子节引用，装配须去重；空字数预算/法定模板不补造。</x:v>
      </x:c>
      <x:c r="K71" s="46" t="str">
        <x:v>S3 style/section_templates/READ.yaml：section_id=READ；outline.yaml</x:v>
      </x:c>
      <x:c r="L71" s="56" t="str">
        <x:v>总览第33行</x:v>
      </x:c>
    </x:row>
    <x:row r="72" ht="74" customHeight="1">
      <x:c r="A72" s="81" t="n">
        <x:v>66</x:v>
      </x:c>
      <x:c r="B72" s="81" t="n">
        <x:v>27</x:v>
      </x:c>
      <x:c r="C72" s="26" t="str">
        <x:v>style/section_templates/*.yaml</x:v>
      </x:c>
      <x:c r="D72" s="26" t="str">
        <x:v>style/section_templates/</x:v>
      </x:c>
      <x:c r="E72" s="26" t="str">
        <x:v>style/section_templates/S1.yaml</x:v>
      </x:c>
      <x:c r="F72" s="26" t="str">
        <x:v>YAML</x:v>
      </x:c>
      <x:c r="G72" s="74" t="n">
        <x:v>922</x:v>
      </x:c>
      <x:c r="H72" s="75" t="n">
        <x:f>G72/'来源与约定'!$B$5</x:f>
        <x:v>0.900390625</x:v>
      </x:c>
      <x:c r="I72" s="26" t="str">
        <x:v>《一、项目概要与预审意见》写法骨架。
6个顺序条目、1个表结构；引用占位符切块，不内嵌原项目数值。</x:v>
      </x:c>
      <x:c r="J72" s="26" t="str">
        <x:v>已生成；主章含子节引用，装配须去重；空字数预算/法定模板不补造。</x:v>
      </x:c>
      <x:c r="K72" s="54" t="str">
        <x:v>S3 style/section_templates/S1.yaml：section_id=S1；outline.yaml</x:v>
      </x:c>
      <x:c r="L72" s="58" t="str">
        <x:v>总览第33行</x:v>
      </x:c>
    </x:row>
    <x:row r="73" ht="74" customHeight="1">
      <x:c r="A73" s="80" t="n">
        <x:v>67</x:v>
      </x:c>
      <x:c r="B73" s="80" t="n">
        <x:v>27</x:v>
      </x:c>
      <x:c r="C73" s="5" t="str">
        <x:v>style/section_templates/*.yaml</x:v>
      </x:c>
      <x:c r="D73" s="5" t="str">
        <x:v>style/section_templates/</x:v>
      </x:c>
      <x:c r="E73" s="5" t="str">
        <x:v>style/section_templates/S10.1.yaml</x:v>
      </x:c>
      <x:c r="F73" s="5" t="str">
        <x:v>YAML</x:v>
      </x:c>
      <x:c r="G73" s="72" t="n">
        <x:v>1212</x:v>
      </x:c>
      <x:c r="H73" s="73" t="n">
        <x:f>G73/'来源与约定'!$B$5</x:f>
        <x:v>1.18359375</x:v>
      </x:c>
      <x:c r="I73" s="5" t="str">
        <x:v>《10.1 经营现金盈余》写法骨架。
5个顺序条目、1个表结构；引用占位符切块，不内嵌原项目数值。</x:v>
      </x:c>
      <x:c r="J73" s="5" t="str">
        <x:v>已生成；主章含子节引用，装配须去重；空字数预算/法定模板不补造。</x:v>
      </x:c>
      <x:c r="K73" s="46" t="str">
        <x:v>S3 style/section_templates/S10.1.yaml：section_id=S10.1；outline.yaml</x:v>
      </x:c>
      <x:c r="L73" s="56" t="str">
        <x:v>总览第33行</x:v>
      </x:c>
    </x:row>
    <x:row r="74" ht="74" customHeight="1">
      <x:c r="A74" s="81" t="n">
        <x:v>68</x:v>
      </x:c>
      <x:c r="B74" s="81" t="n">
        <x:v>27</x:v>
      </x:c>
      <x:c r="C74" s="26" t="str">
        <x:v>style/section_templates/*.yaml</x:v>
      </x:c>
      <x:c r="D74" s="26" t="str">
        <x:v>style/section_templates/</x:v>
      </x:c>
      <x:c r="E74" s="26" t="str">
        <x:v>style/section_templates/S10.2.yaml</x:v>
      </x:c>
      <x:c r="F74" s="26" t="str">
        <x:v>YAML</x:v>
      </x:c>
      <x:c r="G74" s="74" t="n">
        <x:v>1148</x:v>
      </x:c>
      <x:c r="H74" s="75" t="n">
        <x:f>G74/'来源与约定'!$B$5</x:f>
        <x:v>1.12109375</x:v>
      </x:c>
      <x:c r="I74" s="26" t="str">
        <x:v>《10.2 简化静态资金回收》写法骨架。
6个顺序条目、0个表结构；引用占位符切块，不内嵌原项目数值。</x:v>
      </x:c>
      <x:c r="J74" s="26" t="str">
        <x:v>已生成；主章含子节引用，装配须去重；空字数预算/法定模板不补造。</x:v>
      </x:c>
      <x:c r="K74" s="54" t="str">
        <x:v>S3 style/section_templates/S10.2.yaml：section_id=S10.2；outline.yaml</x:v>
      </x:c>
      <x:c r="L74" s="58" t="str">
        <x:v>总览第33行</x:v>
      </x:c>
    </x:row>
    <x:row r="75" ht="76" customHeight="1">
      <x:c r="A75" s="80" t="n">
        <x:v>69</x:v>
      </x:c>
      <x:c r="B75" s="80" t="n">
        <x:v>27</x:v>
      </x:c>
      <x:c r="C75" s="5" t="str">
        <x:v>style/section_templates/*.yaml</x:v>
      </x:c>
      <x:c r="D75" s="5" t="str">
        <x:v>style/section_templates/</x:v>
      </x:c>
      <x:c r="E75" s="5" t="str">
        <x:v>style/section_templates/S10.yaml</x:v>
      </x:c>
      <x:c r="F75" s="5" t="str">
        <x:v>YAML</x:v>
      </x:c>
      <x:c r="G75" s="72" t="n">
        <x:v>2143</x:v>
      </x:c>
      <x:c r="H75" s="73" t="n">
        <x:f>G75/'来源与约定'!$B$5</x:f>
        <x:v>2.0927734375</x:v>
      </x:c>
      <x:c r="I75" s="5" t="str">
        <x:v>《十、经营现金盈余与回收测算》写法骨架。
12个顺序条目、1个表结构；引用占位符切块，不内嵌原项目数值。</x:v>
      </x:c>
      <x:c r="J75" s="5" t="str">
        <x:v>已生成；主章含子节引用，装配须去重；空字数预算/法定模板不补造。</x:v>
      </x:c>
      <x:c r="K75" s="46" t="str">
        <x:v>S3 style/section_templates/S10.yaml：section_id=S10；outline.yaml</x:v>
      </x:c>
      <x:c r="L75" s="56" t="str">
        <x:v>总览第33行</x:v>
      </x:c>
    </x:row>
    <x:row r="76" ht="74" customHeight="1">
      <x:c r="A76" s="81" t="n">
        <x:v>70</x:v>
      </x:c>
      <x:c r="B76" s="81" t="n">
        <x:v>27</x:v>
      </x:c>
      <x:c r="C76" s="26" t="str">
        <x:v>style/section_templates/*.yaml</x:v>
      </x:c>
      <x:c r="D76" s="26" t="str">
        <x:v>style/section_templates/</x:v>
      </x:c>
      <x:c r="E76" s="26" t="str">
        <x:v>style/section_templates/S11.1.yaml</x:v>
      </x:c>
      <x:c r="F76" s="26" t="str">
        <x:v>YAML</x:v>
      </x:c>
      <x:c r="G76" s="74" t="n">
        <x:v>956</x:v>
      </x:c>
      <x:c r="H76" s="75" t="n">
        <x:f>G76/'来源与约定'!$B$5</x:f>
        <x:v>0.93359375</x:v>
      </x:c>
      <x:c r="I76" s="26" t="str">
        <x:v>《11.1 主要风险及处置》写法骨架。
4个顺序条目、1个表结构；引用占位符切块，不内嵌原项目数值。</x:v>
      </x:c>
      <x:c r="J76" s="26" t="str">
        <x:v>已生成；主章含子节引用，装配须去重；空字数预算/法定模板不补造。</x:v>
      </x:c>
      <x:c r="K76" s="54" t="str">
        <x:v>S3 style/section_templates/S11.1.yaml：section_id=S11.1；outline.yaml</x:v>
      </x:c>
      <x:c r="L76" s="58" t="str">
        <x:v>总览第33行</x:v>
      </x:c>
    </x:row>
    <x:row r="77" ht="74" customHeight="1">
      <x:c r="A77" s="80" t="n">
        <x:v>71</x:v>
      </x:c>
      <x:c r="B77" s="80" t="n">
        <x:v>27</x:v>
      </x:c>
      <x:c r="C77" s="5" t="str">
        <x:v>style/section_templates/*.yaml</x:v>
      </x:c>
      <x:c r="D77" s="5" t="str">
        <x:v>style/section_templates/</x:v>
      </x:c>
      <x:c r="E77" s="5" t="str">
        <x:v>style/section_templates/S11.2.yaml</x:v>
      </x:c>
      <x:c r="F77" s="5" t="str">
        <x:v>YAML</x:v>
      </x:c>
      <x:c r="G77" s="72" t="n">
        <x:v>914</x:v>
      </x:c>
      <x:c r="H77" s="73" t="n">
        <x:f>G77/'来源与约定'!$B$5</x:f>
        <x:v>0.892578125</x:v>
      </x:c>
      <x:c r="I77" s="5" t="str">
        <x:v>《11.2 内部预审判断》写法骨架。
4个顺序条目、1个表结构；引用占位符切块，不内嵌原项目数值。</x:v>
      </x:c>
      <x:c r="J77" s="5" t="str">
        <x:v>已生成；主章含子节引用，装配须去重；空字数预算/法定模板不补造。</x:v>
      </x:c>
      <x:c r="K77" s="46" t="str">
        <x:v>S3 style/section_templates/S11.2.yaml：section_id=S11.2；outline.yaml</x:v>
      </x:c>
      <x:c r="L77" s="56" t="str">
        <x:v>总览第33行</x:v>
      </x:c>
    </x:row>
    <x:row r="78" ht="74" customHeight="1">
      <x:c r="A78" s="81" t="n">
        <x:v>72</x:v>
      </x:c>
      <x:c r="B78" s="81" t="n">
        <x:v>27</x:v>
      </x:c>
      <x:c r="C78" s="26" t="str">
        <x:v>style/section_templates/*.yaml</x:v>
      </x:c>
      <x:c r="D78" s="26" t="str">
        <x:v>style/section_templates/</x:v>
      </x:c>
      <x:c r="E78" s="26" t="str">
        <x:v>style/section_templates/S11.3.yaml</x:v>
      </x:c>
      <x:c r="F78" s="26" t="str">
        <x:v>YAML</x:v>
      </x:c>
      <x:c r="G78" s="74" t="n">
        <x:v>2100</x:v>
      </x:c>
      <x:c r="H78" s="75" t="n">
        <x:f>G78/'来源与约定'!$B$5</x:f>
        <x:v>2.05078125</x:v>
      </x:c>
      <x:c r="I78" s="26" t="str">
        <x:v>《11.3 结论与下一阶段工作》写法骨架。
8个顺序条目、1个表结构；引用占位符切块，不内嵌原项目数值。</x:v>
      </x:c>
      <x:c r="J78" s="26" t="str">
        <x:v>已生成；主章含子节引用，装配须去重；空字数预算/法定模板不补造。</x:v>
      </x:c>
      <x:c r="K78" s="54" t="str">
        <x:v>S3 style/section_templates/S11.3.yaml：section_id=S11.3；outline.yaml</x:v>
      </x:c>
      <x:c r="L78" s="58" t="str">
        <x:v>总览第33行</x:v>
      </x:c>
    </x:row>
    <x:row r="79" ht="74" customHeight="1">
      <x:c r="A79" s="80" t="n">
        <x:v>73</x:v>
      </x:c>
      <x:c r="B79" s="80" t="n">
        <x:v>27</x:v>
      </x:c>
      <x:c r="C79" s="5" t="str">
        <x:v>style/section_templates/*.yaml</x:v>
      </x:c>
      <x:c r="D79" s="5" t="str">
        <x:v>style/section_templates/</x:v>
      </x:c>
      <x:c r="E79" s="5" t="str">
        <x:v>style/section_templates/S11.yaml</x:v>
      </x:c>
      <x:c r="F79" s="5" t="str">
        <x:v>YAML</x:v>
      </x:c>
      <x:c r="G79" s="72" t="n">
        <x:v>3522</x:v>
      </x:c>
      <x:c r="H79" s="73" t="n">
        <x:f>G79/'来源与约定'!$B$5</x:f>
        <x:v>3.439453125</x:v>
      </x:c>
      <x:c r="I79" s="5" t="str">
        <x:v>《十一、风险、约束与结论》写法骨架。
18个顺序条目、3个表结构；引用占位符切块，不内嵌原项目数值。</x:v>
      </x:c>
      <x:c r="J79" s="5" t="str">
        <x:v>已生成；主章含子节引用，装配须去重；空字数预算/法定模板不补造。</x:v>
      </x:c>
      <x:c r="K79" s="46" t="str">
        <x:v>S3 style/section_templates/S11.yaml：section_id=S11；outline.yaml</x:v>
      </x:c>
      <x:c r="L79" s="56" t="str">
        <x:v>总览第33行</x:v>
      </x:c>
    </x:row>
    <x:row r="80" ht="74" customHeight="1">
      <x:c r="A80" s="81" t="n">
        <x:v>74</x:v>
      </x:c>
      <x:c r="B80" s="81" t="n">
        <x:v>27</x:v>
      </x:c>
      <x:c r="C80" s="26" t="str">
        <x:v>style/section_templates/*.yaml</x:v>
      </x:c>
      <x:c r="D80" s="26" t="str">
        <x:v>style/section_templates/</x:v>
      </x:c>
      <x:c r="E80" s="26" t="str">
        <x:v>style/section_templates/S2.1.yaml</x:v>
      </x:c>
      <x:c r="F80" s="26" t="str">
        <x:v>YAML</x:v>
      </x:c>
      <x:c r="G80" s="74" t="n">
        <x:v>1129</x:v>
      </x:c>
      <x:c r="H80" s="75" t="n">
        <x:f>G80/'来源与约定'!$B$5</x:f>
        <x:v>1.1025390625</x:v>
      </x:c>
      <x:c r="I80" s="26" t="str">
        <x:v>《2.1 需求来源与历史业务》写法骨架。
6个顺序条目、1个表结构；引用占位符切块，不内嵌原项目数值。</x:v>
      </x:c>
      <x:c r="J80" s="26" t="str">
        <x:v>已生成；主章含子节引用，装配须去重；空字数预算/法定模板不补造。</x:v>
      </x:c>
      <x:c r="K80" s="54" t="str">
        <x:v>S3 style/section_templates/S2.1.yaml：section_id=S2.1；outline.yaml</x:v>
      </x:c>
      <x:c r="L80" s="58" t="str">
        <x:v>总览第33行</x:v>
      </x:c>
    </x:row>
    <x:row r="81" ht="74" customHeight="1">
      <x:c r="A81" s="80" t="n">
        <x:v>75</x:v>
      </x:c>
      <x:c r="B81" s="80" t="n">
        <x:v>27</x:v>
      </x:c>
      <x:c r="C81" s="5" t="str">
        <x:v>style/section_templates/*.yaml</x:v>
      </x:c>
      <x:c r="D81" s="5" t="str">
        <x:v>style/section_templates/</x:v>
      </x:c>
      <x:c r="E81" s="5" t="str">
        <x:v>style/section_templates/S2.2.yaml</x:v>
      </x:c>
      <x:c r="F81" s="5" t="str">
        <x:v>YAML</x:v>
      </x:c>
      <x:c r="G81" s="72" t="n">
        <x:v>1100</x:v>
      </x:c>
      <x:c r="H81" s="73" t="n">
        <x:f>G81/'来源与约定'!$B$5</x:f>
        <x:v>1.07421875</x:v>
      </x:c>
      <x:c r="I81" s="5" t="str">
        <x:v>《2.2 边界与产销口径》写法骨架。
4个顺序条目、0个表结构；引用占位符切块，不内嵌原项目数值。</x:v>
      </x:c>
      <x:c r="J81" s="5" t="str">
        <x:v>已生成；主章含子节引用，装配须去重；空字数预算/法定模板不补造。</x:v>
      </x:c>
      <x:c r="K81" s="46" t="str">
        <x:v>S3 style/section_templates/S2.2.yaml：section_id=S2.2；outline.yaml</x:v>
      </x:c>
      <x:c r="L81" s="56" t="str">
        <x:v>总览第33行</x:v>
      </x:c>
    </x:row>
    <x:row r="82" ht="76" customHeight="1">
      <x:c r="A82" s="81" t="n">
        <x:v>76</x:v>
      </x:c>
      <x:c r="B82" s="81" t="n">
        <x:v>27</x:v>
      </x:c>
      <x:c r="C82" s="26" t="str">
        <x:v>style/section_templates/*.yaml</x:v>
      </x:c>
      <x:c r="D82" s="26" t="str">
        <x:v>style/section_templates/</x:v>
      </x:c>
      <x:c r="E82" s="26" t="str">
        <x:v>style/section_templates/S2.yaml</x:v>
      </x:c>
      <x:c r="F82" s="26" t="str">
        <x:v>YAML</x:v>
      </x:c>
      <x:c r="G82" s="74" t="n">
        <x:v>2012</x:v>
      </x:c>
      <x:c r="H82" s="75" t="n">
        <x:f>G82/'来源与约定'!$B$5</x:f>
        <x:v>1.96484375</x:v>
      </x:c>
      <x:c r="I82" s="26" t="str">
        <x:v>《二、业务需求、产品与项目边界》写法骨架。
11个顺序条目、1个表结构；引用占位符切块，不内嵌原项目数值。</x:v>
      </x:c>
      <x:c r="J82" s="26" t="str">
        <x:v>已生成；主章含子节引用，装配须去重；空字数预算/法定模板不补造。</x:v>
      </x:c>
      <x:c r="K82" s="54" t="str">
        <x:v>S3 style/section_templates/S2.yaml：section_id=S2；outline.yaml</x:v>
      </x:c>
      <x:c r="L82" s="58" t="str">
        <x:v>总览第33行</x:v>
      </x:c>
    </x:row>
    <x:row r="83" ht="74" customHeight="1">
      <x:c r="A83" s="80" t="n">
        <x:v>77</x:v>
      </x:c>
      <x:c r="B83" s="80" t="n">
        <x:v>27</x:v>
      </x:c>
      <x:c r="C83" s="5" t="str">
        <x:v>style/section_templates/*.yaml</x:v>
      </x:c>
      <x:c r="D83" s="5" t="str">
        <x:v>style/section_templates/</x:v>
      </x:c>
      <x:c r="E83" s="5" t="str">
        <x:v>style/section_templates/S3.1.yaml</x:v>
      </x:c>
      <x:c r="F83" s="5" t="str">
        <x:v>YAML</x:v>
      </x:c>
      <x:c r="G83" s="72" t="n">
        <x:v>1894</x:v>
      </x:c>
      <x:c r="H83" s="73" t="n">
        <x:f>G83/'来源与约定'!$B$5</x:f>
        <x:v>1.849609375</x:v>
      </x:c>
      <x:c r="I83" s="5" t="str">
        <x:v>《3.1 拟采用工艺与验收边界》写法骨架。
8个顺序条目、1个表结构；引用占位符切块，不内嵌原项目数值。</x:v>
      </x:c>
      <x:c r="J83" s="5" t="str">
        <x:v>已生成；主章含子节引用，装配须去重；空字数预算/法定模板不补造。</x:v>
      </x:c>
      <x:c r="K83" s="46" t="str">
        <x:v>S3 style/section_templates/S3.1.yaml：section_id=S3.1；outline.yaml</x:v>
      </x:c>
      <x:c r="L83" s="56" t="str">
        <x:v>总览第33行</x:v>
      </x:c>
    </x:row>
    <x:row r="84" ht="74" customHeight="1">
      <x:c r="A84" s="81" t="n">
        <x:v>78</x:v>
      </x:c>
      <x:c r="B84" s="81" t="n">
        <x:v>27</x:v>
      </x:c>
      <x:c r="C84" s="26" t="str">
        <x:v>style/section_templates/*.yaml</x:v>
      </x:c>
      <x:c r="D84" s="26" t="str">
        <x:v>style/section_templates/</x:v>
      </x:c>
      <x:c r="E84" s="26" t="str">
        <x:v>style/section_templates/S3.yaml</x:v>
      </x:c>
      <x:c r="F84" s="26" t="str">
        <x:v>YAML</x:v>
      </x:c>
      <x:c r="G84" s="74" t="n">
        <x:v>1970</x:v>
      </x:c>
      <x:c r="H84" s="75" t="n">
        <x:f>G84/'来源与约定'!$B$5</x:f>
        <x:v>1.923828125</x:v>
      </x:c>
      <x:c r="I84" s="26" t="str">
        <x:v>《三、工艺路径与备选方案》写法骨架。
9个顺序条目、1个表结构；引用占位符切块，不内嵌原项目数值。</x:v>
      </x:c>
      <x:c r="J84" s="26" t="str">
        <x:v>已生成；主章含子节引用，装配须去重；空字数预算/法定模板不补造。</x:v>
      </x:c>
      <x:c r="K84" s="54" t="str">
        <x:v>S3 style/section_templates/S3.yaml：section_id=S3；outline.yaml</x:v>
      </x:c>
      <x:c r="L84" s="58" t="str">
        <x:v>总览第33行</x:v>
      </x:c>
    </x:row>
    <x:row r="85" ht="74" customHeight="1">
      <x:c r="A85" s="80" t="n">
        <x:v>79</x:v>
      </x:c>
      <x:c r="B85" s="80" t="n">
        <x:v>27</x:v>
      </x:c>
      <x:c r="C85" s="5" t="str">
        <x:v>style/section_templates/*.yaml</x:v>
      </x:c>
      <x:c r="D85" s="5" t="str">
        <x:v>style/section_templates/</x:v>
      </x:c>
      <x:c r="E85" s="5" t="str">
        <x:v>style/section_templates/S4.1.yaml</x:v>
      </x:c>
      <x:c r="F85" s="5" t="str">
        <x:v>YAML</x:v>
      </x:c>
      <x:c r="G85" s="72" t="n">
        <x:v>911</x:v>
      </x:c>
      <x:c r="H85" s="73" t="n">
        <x:f>G85/'来源与约定'!$B$5</x:f>
        <x:v>0.8896484375</x:v>
      </x:c>
      <x:c r="I85" s="5" t="str">
        <x:v>《4.1 交付结论与复议条件》写法骨架。
3个顺序条目、0个表结构；引用占位符切块，不内嵌原项目数值。</x:v>
      </x:c>
      <x:c r="J85" s="5" t="str">
        <x:v>已生成；主章含子节引用，装配须去重；空字数预算/法定模板不补造。</x:v>
      </x:c>
      <x:c r="K85" s="46" t="str">
        <x:v>S3 style/section_templates/S4.1.yaml：section_id=S4.1；outline.yaml</x:v>
      </x:c>
      <x:c r="L85" s="56" t="str">
        <x:v>总览第33行</x:v>
      </x:c>
    </x:row>
    <x:row r="86" ht="74" customHeight="1">
      <x:c r="A86" s="81" t="n">
        <x:v>80</x:v>
      </x:c>
      <x:c r="B86" s="81" t="n">
        <x:v>27</x:v>
      </x:c>
      <x:c r="C86" s="26" t="str">
        <x:v>style/section_templates/*.yaml</x:v>
      </x:c>
      <x:c r="D86" s="26" t="str">
        <x:v>style/section_templates/</x:v>
      </x:c>
      <x:c r="E86" s="26" t="str">
        <x:v>style/section_templates/S4.yaml</x:v>
      </x:c>
      <x:c r="F86" s="26" t="str">
        <x:v>YAML</x:v>
      </x:c>
      <x:c r="G86" s="74" t="n">
        <x:v>1826</x:v>
      </x:c>
      <x:c r="H86" s="75" t="n">
        <x:f>G86/'来源与约定'!$B$5</x:f>
        <x:v>1.783203125</x:v>
      </x:c>
      <x:c r="I86" s="26" t="str">
        <x:v>《四、产能测算与交付匹配》写法骨架。
11个顺序条目、1个表结构；引用占位符切块，不内嵌原项目数值。</x:v>
      </x:c>
      <x:c r="J86" s="26" t="str">
        <x:v>已生成；主章含子节引用，装配须去重；空字数预算/法定模板不补造。</x:v>
      </x:c>
      <x:c r="K86" s="54" t="str">
        <x:v>S3 style/section_templates/S4.yaml：section_id=S4；outline.yaml</x:v>
      </x:c>
      <x:c r="L86" s="58" t="str">
        <x:v>总览第33行</x:v>
      </x:c>
    </x:row>
    <x:row r="87" ht="74" customHeight="1">
      <x:c r="A87" s="80" t="n">
        <x:v>81</x:v>
      </x:c>
      <x:c r="B87" s="80" t="n">
        <x:v>27</x:v>
      </x:c>
      <x:c r="C87" s="5" t="str">
        <x:v>style/section_templates/*.yaml</x:v>
      </x:c>
      <x:c r="D87" s="5" t="str">
        <x:v>style/section_templates/</x:v>
      </x:c>
      <x:c r="E87" s="5" t="str">
        <x:v>style/section_templates/S5.1.yaml</x:v>
      </x:c>
      <x:c r="F87" s="5" t="str">
        <x:v>YAML</x:v>
      </x:c>
      <x:c r="G87" s="72" t="n">
        <x:v>1191</x:v>
      </x:c>
      <x:c r="H87" s="73" t="n">
        <x:f>G87/'来源与约定'!$B$5</x:f>
        <x:v>1.1630859375</x:v>
      </x:c>
      <x:c r="I87" s="5" t="str">
        <x:v>《5.1 厂房面积与改造范围》写法骨架。
5个顺序条目、1个表结构；引用占位符切块，不内嵌原项目数值。</x:v>
      </x:c>
      <x:c r="J87" s="5" t="str">
        <x:v>已生成；主章含子节引用，装配须去重；空字数预算/法定模板不补造。</x:v>
      </x:c>
      <x:c r="K87" s="46" t="str">
        <x:v>S3 style/section_templates/S5.1.yaml：section_id=S5.1；outline.yaml</x:v>
      </x:c>
      <x:c r="L87" s="56" t="str">
        <x:v>总览第33行</x:v>
      </x:c>
    </x:row>
    <x:row r="88" ht="76" customHeight="1">
      <x:c r="A88" s="81" t="n">
        <x:v>82</x:v>
      </x:c>
      <x:c r="B88" s="81" t="n">
        <x:v>27</x:v>
      </x:c>
      <x:c r="C88" s="26" t="str">
        <x:v>style/section_templates/*.yaml</x:v>
      </x:c>
      <x:c r="D88" s="26" t="str">
        <x:v>style/section_templates/</x:v>
      </x:c>
      <x:c r="E88" s="26" t="str">
        <x:v>style/section_templates/S5.2.yaml</x:v>
      </x:c>
      <x:c r="F88" s="26" t="str">
        <x:v>YAML</x:v>
      </x:c>
      <x:c r="G88" s="74" t="n">
        <x:v>1156</x:v>
      </x:c>
      <x:c r="H88" s="75" t="n">
        <x:f>G88/'来源与约定'!$B$5</x:f>
        <x:v>1.12890625</x:v>
      </x:c>
      <x:c r="I88" s="26" t="str">
        <x:v>《5.2 配电资料分歧与用能预算》写法骨架。
4个顺序条目、0个表结构；引用占位符切块，不内嵌原项目数值。</x:v>
      </x:c>
      <x:c r="J88" s="26" t="str">
        <x:v>已生成；主章含子节引用，装配须去重；空字数预算/法定模板不补造。</x:v>
      </x:c>
      <x:c r="K88" s="54" t="str">
        <x:v>S3 style/section_templates/S5.2.yaml：section_id=S5.2；outline.yaml</x:v>
      </x:c>
      <x:c r="L88" s="58" t="str">
        <x:v>总览第33行</x:v>
      </x:c>
    </x:row>
    <x:row r="89" ht="74" customHeight="1">
      <x:c r="A89" s="80" t="n">
        <x:v>83</x:v>
      </x:c>
      <x:c r="B89" s="80" t="n">
        <x:v>27</x:v>
      </x:c>
      <x:c r="C89" s="5" t="str">
        <x:v>style/section_templates/*.yaml</x:v>
      </x:c>
      <x:c r="D89" s="5" t="str">
        <x:v>style/section_templates/</x:v>
      </x:c>
      <x:c r="E89" s="5" t="str">
        <x:v>style/section_templates/S5.yaml</x:v>
      </x:c>
      <x:c r="F89" s="5" t="str">
        <x:v>YAML</x:v>
      </x:c>
      <x:c r="G89" s="72" t="n">
        <x:v>2109</x:v>
      </x:c>
      <x:c r="H89" s="73" t="n">
        <x:f>G89/'来源与约定'!$B$5</x:f>
        <x:v>2.0595703125</x:v>
      </x:c>
      <x:c r="I89" s="5" t="str">
        <x:v>《五、厂房改造与公辅条件》写法骨架。
10个顺序条目、1个表结构；引用占位符切块，不内嵌原项目数值。</x:v>
      </x:c>
      <x:c r="J89" s="5" t="str">
        <x:v>已生成；主章含子节引用，装配须去重；空字数预算/法定模板不补造。</x:v>
      </x:c>
      <x:c r="K89" s="46" t="str">
        <x:v>S3 style/section_templates/S5.yaml：section_id=S5；outline.yaml</x:v>
      </x:c>
      <x:c r="L89" s="56" t="str">
        <x:v>总览第33行</x:v>
      </x:c>
    </x:row>
    <x:row r="90" ht="74" customHeight="1">
      <x:c r="A90" s="81" t="n">
        <x:v>84</x:v>
      </x:c>
      <x:c r="B90" s="81" t="n">
        <x:v>27</x:v>
      </x:c>
      <x:c r="C90" s="26" t="str">
        <x:v>style/section_templates/*.yaml</x:v>
      </x:c>
      <x:c r="D90" s="26" t="str">
        <x:v>style/section_templates/</x:v>
      </x:c>
      <x:c r="E90" s="26" t="str">
        <x:v>style/section_templates/S6.1.yaml</x:v>
      </x:c>
      <x:c r="F90" s="26" t="str">
        <x:v>YAML</x:v>
      </x:c>
      <x:c r="G90" s="74" t="n">
        <x:v>1163</x:v>
      </x:c>
      <x:c r="H90" s="75" t="n">
        <x:f>G90/'来源与约定'!$B$5</x:f>
        <x:v>1.1357421875</x:v>
      </x:c>
      <x:c r="I90" s="26" t="str">
        <x:v>《6.1 计划进度》写法骨架。
5个顺序条目、1个表结构；引用占位符切块，不内嵌原项目数值。</x:v>
      </x:c>
      <x:c r="J90" s="26" t="str">
        <x:v>已生成；主章含子节引用，装配须去重；空字数预算/法定模板不补造。</x:v>
      </x:c>
      <x:c r="K90" s="54" t="str">
        <x:v>S3 style/section_templates/S6.1.yaml：section_id=S6.1；outline.yaml</x:v>
      </x:c>
      <x:c r="L90" s="58" t="str">
        <x:v>总览第33行</x:v>
      </x:c>
    </x:row>
    <x:row r="91" ht="74" customHeight="1">
      <x:c r="A91" s="80" t="n">
        <x:v>85</x:v>
      </x:c>
      <x:c r="B91" s="80" t="n">
        <x:v>27</x:v>
      </x:c>
      <x:c r="C91" s="5" t="str">
        <x:v>style/section_templates/*.yaml</x:v>
      </x:c>
      <x:c r="D91" s="5" t="str">
        <x:v>style/section_templates/</x:v>
      </x:c>
      <x:c r="E91" s="5" t="str">
        <x:v>style/section_templates/S6.2.yaml</x:v>
      </x:c>
      <x:c r="F91" s="5" t="str">
        <x:v>YAML</x:v>
      </x:c>
      <x:c r="G91" s="72" t="n">
        <x:v>1233</x:v>
      </x:c>
      <x:c r="H91" s="73" t="n">
        <x:f>G91/'来源与约定'!$B$5</x:f>
        <x:v>1.2041015625</x:v>
      </x:c>
      <x:c r="I91" s="5" t="str">
        <x:v>《6.2 定员与组织》写法骨架。
6个顺序条目、1个表结构；引用占位符切块，不内嵌原项目数值。</x:v>
      </x:c>
      <x:c r="J91" s="5" t="str">
        <x:v>已生成；主章含子节引用，装配须去重；空字数预算/法定模板不补造。</x:v>
      </x:c>
      <x:c r="K91" s="46" t="str">
        <x:v>S3 style/section_templates/S6.2.yaml：section_id=S6.2；outline.yaml</x:v>
      </x:c>
      <x:c r="L91" s="56" t="str">
        <x:v>总览第33行</x:v>
      </x:c>
    </x:row>
    <x:row r="92" ht="74" customHeight="1">
      <x:c r="A92" s="81" t="n">
        <x:v>86</x:v>
      </x:c>
      <x:c r="B92" s="81" t="n">
        <x:v>27</x:v>
      </x:c>
      <x:c r="C92" s="26" t="str">
        <x:v>style/section_templates/*.yaml</x:v>
      </x:c>
      <x:c r="D92" s="26" t="str">
        <x:v>style/section_templates/</x:v>
      </x:c>
      <x:c r="E92" s="26" t="str">
        <x:v>style/section_templates/S6.yaml</x:v>
      </x:c>
      <x:c r="F92" s="26" t="str">
        <x:v>YAML</x:v>
      </x:c>
      <x:c r="G92" s="74" t="n">
        <x:v>2194</x:v>
      </x:c>
      <x:c r="H92" s="75" t="n">
        <x:f>G92/'来源与约定'!$B$5</x:f>
        <x:v>2.142578125</x:v>
      </x:c>
      <x:c r="I92" s="26" t="str">
        <x:v>《六、实施进度与人员配置》写法骨架。
12个顺序条目、2个表结构；引用占位符切块，不内嵌原项目数值。</x:v>
      </x:c>
      <x:c r="J92" s="26" t="str">
        <x:v>已生成；主章含子节引用，装配须去重；空字数预算/法定模板不补造。</x:v>
      </x:c>
      <x:c r="K92" s="54" t="str">
        <x:v>S3 style/section_templates/S6.yaml：section_id=S6；outline.yaml</x:v>
      </x:c>
      <x:c r="L92" s="58" t="str">
        <x:v>总览第33行</x:v>
      </x:c>
    </x:row>
    <x:row r="93" ht="74" customHeight="1">
      <x:c r="A93" s="80" t="n">
        <x:v>87</x:v>
      </x:c>
      <x:c r="B93" s="80" t="n">
        <x:v>27</x:v>
      </x:c>
      <x:c r="C93" s="5" t="str">
        <x:v>style/section_templates/*.yaml</x:v>
      </x:c>
      <x:c r="D93" s="5" t="str">
        <x:v>style/section_templates/</x:v>
      </x:c>
      <x:c r="E93" s="5" t="str">
        <x:v>style/section_templates/S7.1.yaml</x:v>
      </x:c>
      <x:c r="F93" s="5" t="str">
        <x:v>YAML</x:v>
      </x:c>
      <x:c r="G93" s="72" t="n">
        <x:v>1024</x:v>
      </x:c>
      <x:c r="H93" s="73" t="n">
        <x:f>G93/'来源与约定'!$B$5</x:f>
        <x:v>1</x:v>
      </x:c>
      <x:c r="I93" s="5" t="str">
        <x:v>《7.1 编制范围及购置费》写法骨架。
5个顺序条目、1个表结构；引用占位符切块，不内嵌原项目数值。</x:v>
      </x:c>
      <x:c r="J93" s="5" t="str">
        <x:v>已生成；主章含子节引用，装配须去重；空字数预算/法定模板不补造。</x:v>
      </x:c>
      <x:c r="K93" s="46" t="str">
        <x:v>S3 style/section_templates/S7.1.yaml：section_id=S7.1；outline.yaml</x:v>
      </x:c>
      <x:c r="L93" s="56" t="str">
        <x:v>总览第33行</x:v>
      </x:c>
    </x:row>
    <x:row r="94" ht="74" customHeight="1">
      <x:c r="A94" s="81" t="n">
        <x:v>88</x:v>
      </x:c>
      <x:c r="B94" s="81" t="n">
        <x:v>27</x:v>
      </x:c>
      <x:c r="C94" s="26" t="str">
        <x:v>style/section_templates/*.yaml</x:v>
      </x:c>
      <x:c r="D94" s="26" t="str">
        <x:v>style/section_templates/</x:v>
      </x:c>
      <x:c r="E94" s="26" t="str">
        <x:v>style/section_templates/S7.2.yaml</x:v>
      </x:c>
      <x:c r="F94" s="26" t="str">
        <x:v>YAML</x:v>
      </x:c>
      <x:c r="G94" s="74" t="n">
        <x:v>926</x:v>
      </x:c>
      <x:c r="H94" s="75" t="n">
        <x:f>G94/'来源与约定'!$B$5</x:f>
        <x:v>0.904296875</x:v>
      </x:c>
      <x:c r="I94" s="26" t="str">
        <x:v>《7.2 建筑、公辅及其他费用》写法骨架。
4个顺序条目、1个表结构；引用占位符切块，不内嵌原项目数值。</x:v>
      </x:c>
      <x:c r="J94" s="26" t="str">
        <x:v>已生成；主章含子节引用，装配须去重；空字数预算/法定模板不补造。</x:v>
      </x:c>
      <x:c r="K94" s="54" t="str">
        <x:v>S3 style/section_templates/S7.2.yaml：section_id=S7.2；outline.yaml</x:v>
      </x:c>
      <x:c r="L94" s="58" t="str">
        <x:v>总览第33行</x:v>
      </x:c>
    </x:row>
    <x:row r="95" ht="74" customHeight="1">
      <x:c r="A95" s="80" t="n">
        <x:v>89</x:v>
      </x:c>
      <x:c r="B95" s="80" t="n">
        <x:v>27</x:v>
      </x:c>
      <x:c r="C95" s="5" t="str">
        <x:v>style/section_templates/*.yaml</x:v>
      </x:c>
      <x:c r="D95" s="5" t="str">
        <x:v>style/section_templates/</x:v>
      </x:c>
      <x:c r="E95" s="5" t="str">
        <x:v>style/section_templates/S7.3.yaml</x:v>
      </x:c>
      <x:c r="F95" s="5" t="str">
        <x:v>YAML</x:v>
      </x:c>
      <x:c r="G95" s="72" t="n">
        <x:v>1414</x:v>
      </x:c>
      <x:c r="H95" s="73" t="n">
        <x:f>G95/'来源与约定'!$B$5</x:f>
        <x:v>1.380859375</x:v>
      </x:c>
      <x:c r="I95" s="5" t="str">
        <x:v>《7.3 汇总方法与金额》写法骨架。
8个顺序条目、1个表结构；引用占位符切块，不内嵌原项目数值。</x:v>
      </x:c>
      <x:c r="J95" s="5" t="str">
        <x:v>已生成；主章含子节引用，装配须去重；空字数预算/法定模板不补造。</x:v>
      </x:c>
      <x:c r="K95" s="46" t="str">
        <x:v>S3 style/section_templates/S7.3.yaml：section_id=S7.3；outline.yaml</x:v>
      </x:c>
      <x:c r="L95" s="56" t="str">
        <x:v>总览第33行</x:v>
      </x:c>
    </x:row>
    <x:row r="96" ht="74" customHeight="1">
      <x:c r="A96" s="81" t="n">
        <x:v>90</x:v>
      </x:c>
      <x:c r="B96" s="81" t="n">
        <x:v>27</x:v>
      </x:c>
      <x:c r="C96" s="26" t="str">
        <x:v>style/section_templates/*.yaml</x:v>
      </x:c>
      <x:c r="D96" s="26" t="str">
        <x:v>style/section_templates/</x:v>
      </x:c>
      <x:c r="E96" s="26" t="str">
        <x:v>style/section_templates/S7.4.yaml</x:v>
      </x:c>
      <x:c r="F96" s="26" t="str">
        <x:v>YAML</x:v>
      </x:c>
      <x:c r="G96" s="74" t="n">
        <x:v>923</x:v>
      </x:c>
      <x:c r="H96" s="75" t="n">
        <x:f>G96/'来源与约定'!$B$5</x:f>
        <x:v>0.9013671875</x:v>
      </x:c>
      <x:c r="I96" s="26" t="str">
        <x:v>《7.4 精度与变更原则》写法骨架。
3个顺序条目、0个表结构；引用占位符切块，不内嵌原项目数值。</x:v>
      </x:c>
      <x:c r="J96" s="26" t="str">
        <x:v>已生成；主章含子节引用，装配须去重；空字数预算/法定模板不补造。</x:v>
      </x:c>
      <x:c r="K96" s="54" t="str">
        <x:v>S3 style/section_templates/S7.4.yaml：section_id=S7.4；outline.yaml</x:v>
      </x:c>
      <x:c r="L96" s="58" t="str">
        <x:v>总览第33行</x:v>
      </x:c>
    </x:row>
    <x:row r="97" ht="74" customHeight="1">
      <x:c r="A97" s="80" t="n">
        <x:v>91</x:v>
      </x:c>
      <x:c r="B97" s="80" t="n">
        <x:v>27</x:v>
      </x:c>
      <x:c r="C97" s="5" t="str">
        <x:v>style/section_templates/*.yaml</x:v>
      </x:c>
      <x:c r="D97" s="5" t="str">
        <x:v>style/section_templates/</x:v>
      </x:c>
      <x:c r="E97" s="5" t="str">
        <x:v>style/section_templates/S7.yaml</x:v>
      </x:c>
      <x:c r="F97" s="5" t="str">
        <x:v>YAML</x:v>
      </x:c>
      <x:c r="G97" s="72" t="n">
        <x:v>3521</x:v>
      </x:c>
      <x:c r="H97" s="73" t="n">
        <x:f>G97/'来源与约定'!$B$5</x:f>
        <x:v>3.4384765625</x:v>
      </x:c>
      <x:c r="I97" s="5" t="str">
        <x:v>《七、建设投资估算》写法骨架。
22个顺序条目、3个表结构；引用占位符切块，不内嵌原项目数值。</x:v>
      </x:c>
      <x:c r="J97" s="5" t="str">
        <x:v>已生成；主章含子节引用，装配须去重；空字数预算/法定模板不补造。</x:v>
      </x:c>
      <x:c r="K97" s="46" t="str">
        <x:v>S3 style/section_templates/S7.yaml：section_id=S7；outline.yaml</x:v>
      </x:c>
      <x:c r="L97" s="56" t="str">
        <x:v>总览第33行</x:v>
      </x:c>
    </x:row>
    <x:row r="98" ht="74" customHeight="1">
      <x:c r="A98" s="81" t="n">
        <x:v>92</x:v>
      </x:c>
      <x:c r="B98" s="81" t="n">
        <x:v>27</x:v>
      </x:c>
      <x:c r="C98" s="26" t="str">
        <x:v>style/section_templates/*.yaml</x:v>
      </x:c>
      <x:c r="D98" s="26" t="str">
        <x:v>style/section_templates/</x:v>
      </x:c>
      <x:c r="E98" s="26" t="str">
        <x:v>style/section_templates/S8.1.yaml</x:v>
      </x:c>
      <x:c r="F98" s="26" t="str">
        <x:v>YAML</x:v>
      </x:c>
      <x:c r="G98" s="74" t="n">
        <x:v>1365</x:v>
      </x:c>
      <x:c r="H98" s="75" t="n">
        <x:f>G98/'来源与约定'!$B$5</x:f>
        <x:v>1.3330078125</x:v>
      </x:c>
      <x:c r="I98" s="26" t="str">
        <x:v>《8.1 收入及成本口径》写法骨架。
7个顺序条目、1个表结构；引用占位符切块，不内嵌原项目数值。</x:v>
      </x:c>
      <x:c r="J98" s="26" t="str">
        <x:v>已生成；主章含子节引用，装配须去重；空字数预算/法定模板不补造。</x:v>
      </x:c>
      <x:c r="K98" s="54" t="str">
        <x:v>S3 style/section_templates/S8.1.yaml：section_id=S8.1；outline.yaml</x:v>
      </x:c>
      <x:c r="L98" s="58" t="str">
        <x:v>总览第33行</x:v>
      </x:c>
    </x:row>
    <x:row r="99" ht="74" customHeight="1">
      <x:c r="A99" s="80" t="n">
        <x:v>93</x:v>
      </x:c>
      <x:c r="B99" s="80" t="n">
        <x:v>27</x:v>
      </x:c>
      <x:c r="C99" s="5" t="str">
        <x:v>style/section_templates/*.yaml</x:v>
      </x:c>
      <x:c r="D99" s="5" t="str">
        <x:v>style/section_templates/</x:v>
      </x:c>
      <x:c r="E99" s="5" t="str">
        <x:v>style/section_templates/S8.2.yaml</x:v>
      </x:c>
      <x:c r="F99" s="5" t="str">
        <x:v>YAML</x:v>
      </x:c>
      <x:c r="G99" s="72" t="n">
        <x:v>718</x:v>
      </x:c>
      <x:c r="H99" s="73" t="n">
        <x:f>G99/'来源与约定'!$B$5</x:f>
        <x:v>0.701171875</x:v>
      </x:c>
      <x:c r="I99" s="5" t="str">
        <x:v>《8.2 固定付现成本》写法骨架。
3个顺序条目、0个表结构；引用占位符切块，不内嵌原项目数值。</x:v>
      </x:c>
      <x:c r="J99" s="5" t="str">
        <x:v>已生成；主章含子节引用，装配须去重；空字数预算/法定模板不补造。</x:v>
      </x:c>
      <x:c r="K99" s="46" t="str">
        <x:v>S3 style/section_templates/S8.2.yaml：section_id=S8.2；outline.yaml</x:v>
      </x:c>
      <x:c r="L99" s="56" t="str">
        <x:v>总览第33行</x:v>
      </x:c>
    </x:row>
    <x:row r="100" ht="74" customHeight="1">
      <x:c r="A100" s="81" t="n">
        <x:v>94</x:v>
      </x:c>
      <x:c r="B100" s="81" t="n">
        <x:v>27</x:v>
      </x:c>
      <x:c r="C100" s="26" t="str">
        <x:v>style/section_templates/*.yaml</x:v>
      </x:c>
      <x:c r="D100" s="26" t="str">
        <x:v>style/section_templates/</x:v>
      </x:c>
      <x:c r="E100" s="26" t="str">
        <x:v>style/section_templates/S8.yaml</x:v>
      </x:c>
      <x:c r="F100" s="26" t="str">
        <x:v>YAML</x:v>
      </x:c>
      <x:c r="G100" s="74" t="n">
        <x:v>1866</x:v>
      </x:c>
      <x:c r="H100" s="75" t="n">
        <x:f>G100/'来源与约定'!$B$5</x:f>
        <x:v>1.822265625</x:v>
      </x:c>
      <x:c r="I100" s="26" t="str">
        <x:v>《八、营业收入与经营成本》写法骨架。
11个顺序条目、1个表结构；引用占位符切块，不内嵌原项目数值。</x:v>
      </x:c>
      <x:c r="J100" s="26" t="str">
        <x:v>已生成；主章含子节引用，装配须去重；空字数预算/法定模板不补造。</x:v>
      </x:c>
      <x:c r="K100" s="54" t="str">
        <x:v>S3 style/section_templates/S8.yaml：section_id=S8；outline.yaml</x:v>
      </x:c>
      <x:c r="L100" s="58" t="str">
        <x:v>总览第33行</x:v>
      </x:c>
    </x:row>
    <x:row r="101" ht="74" customHeight="1">
      <x:c r="A101" s="80" t="n">
        <x:v>95</x:v>
      </x:c>
      <x:c r="B101" s="80" t="n">
        <x:v>27</x:v>
      </x:c>
      <x:c r="C101" s="5" t="str">
        <x:v>style/section_templates/*.yaml</x:v>
      </x:c>
      <x:c r="D101" s="5" t="str">
        <x:v>style/section_templates/</x:v>
      </x:c>
      <x:c r="E101" s="5" t="str">
        <x:v>style/section_templates/S9.1.yaml</x:v>
      </x:c>
      <x:c r="F101" s="5" t="str">
        <x:v>YAML</x:v>
      </x:c>
      <x:c r="G101" s="72" t="n">
        <x:v>1076</x:v>
      </x:c>
      <x:c r="H101" s="73" t="n">
        <x:f>G101/'来源与约定'!$B$5</x:f>
        <x:v>1.05078125</x:v>
      </x:c>
      <x:c r="I101" s="5" t="str">
        <x:v>《9.1 净营运资金估算》写法骨架。
6个顺序条目、1个表结构；引用占位符切块，不内嵌原项目数值。</x:v>
      </x:c>
      <x:c r="J101" s="5" t="str">
        <x:v>已生成；主章含子节引用，装配须去重；空字数预算/法定模板不补造。</x:v>
      </x:c>
      <x:c r="K101" s="46" t="str">
        <x:v>S3 style/section_templates/S9.1.yaml：section_id=S9.1；outline.yaml</x:v>
      </x:c>
      <x:c r="L101" s="56" t="str">
        <x:v>总览第33行</x:v>
      </x:c>
    </x:row>
    <x:row r="102" ht="74" customHeight="1">
      <x:c r="A102" s="81" t="n">
        <x:v>96</x:v>
      </x:c>
      <x:c r="B102" s="81" t="n">
        <x:v>27</x:v>
      </x:c>
      <x:c r="C102" s="26" t="str">
        <x:v>style/section_templates/*.yaml</x:v>
      </x:c>
      <x:c r="D102" s="26" t="str">
        <x:v>style/section_templates/</x:v>
      </x:c>
      <x:c r="E102" s="26" t="str">
        <x:v>style/section_templates/S9.2.yaml</x:v>
      </x:c>
      <x:c r="F102" s="26" t="str">
        <x:v>YAML</x:v>
      </x:c>
      <x:c r="G102" s="74" t="n">
        <x:v>1129</x:v>
      </x:c>
      <x:c r="H102" s="75" t="n">
        <x:f>G102/'来源与约定'!$B$5</x:f>
        <x:v>1.1025390625</x:v>
      </x:c>
      <x:c r="I102" s="26" t="str">
        <x:v>《9.2 资金来源与控制边界》写法骨架。
4个顺序条目、0个表结构；引用占位符切块，不内嵌原项目数值。</x:v>
      </x:c>
      <x:c r="J102" s="26" t="str">
        <x:v>已生成；主章含子节引用，装配须去重；空字数预算/法定模板不补造。</x:v>
      </x:c>
      <x:c r="K102" s="54" t="str">
        <x:v>S3 style/section_templates/S9.2.yaml：section_id=S9.2；outline.yaml</x:v>
      </x:c>
      <x:c r="L102" s="58" t="str">
        <x:v>总览第33行</x:v>
      </x:c>
    </x:row>
    <x:row r="103" ht="74" customHeight="1">
      <x:c r="A103" s="80" t="n">
        <x:v>97</x:v>
      </x:c>
      <x:c r="B103" s="80" t="n">
        <x:v>27</x:v>
      </x:c>
      <x:c r="C103" s="5" t="str">
        <x:v>style/section_templates/*.yaml</x:v>
      </x:c>
      <x:c r="D103" s="5" t="str">
        <x:v>style/section_templates/</x:v>
      </x:c>
      <x:c r="E103" s="5" t="str">
        <x:v>style/section_templates/S9.yaml</x:v>
      </x:c>
      <x:c r="F103" s="5" t="str">
        <x:v>YAML</x:v>
      </x:c>
      <x:c r="G103" s="72" t="n">
        <x:v>1979</x:v>
      </x:c>
      <x:c r="H103" s="73" t="n">
        <x:f>G103/'来源与约定'!$B$5</x:f>
        <x:v>1.9326171875</x:v>
      </x:c>
      <x:c r="I103" s="5" t="str">
        <x:v>《九、营运资金与融资安排》写法骨架。
11个顺序条目、1个表结构；引用占位符切块，不内嵌原项目数值。</x:v>
      </x:c>
      <x:c r="J103" s="5" t="str">
        <x:v>已生成；主章含子节引用，装配须去重；空字数预算/法定模板不补造。</x:v>
      </x:c>
      <x:c r="K103" s="46" t="str">
        <x:v>S3 style/section_templates/S9.yaml：section_id=S9；outline.yaml</x:v>
      </x:c>
      <x:c r="L103" s="56" t="str">
        <x:v>总览第33行</x:v>
      </x:c>
    </x:row>
    <x:row r="104" ht="74" customHeight="1">
      <x:c r="A104" s="81" t="n">
        <x:v>98</x:v>
      </x:c>
      <x:c r="B104" s="81" t="n">
        <x:v>27</x:v>
      </x:c>
      <x:c r="C104" s="26" t="str">
        <x:v>style/section_templates/*.yaml</x:v>
      </x:c>
      <x:c r="D104" s="26" t="str">
        <x:v>style/section_templates/</x:v>
      </x:c>
      <x:c r="E104" s="26" t="str">
        <x:v>style/section_templates/SA.H1.yaml</x:v>
      </x:c>
      <x:c r="F104" s="26" t="str">
        <x:v>YAML</x:v>
      </x:c>
      <x:c r="G104" s="74" t="n">
        <x:v>707</x:v>
      </x:c>
      <x:c r="H104" s="75" t="n">
        <x:f>G104/'来源与约定'!$B$5</x:f>
        <x:v>0.6904296875</x:v>
      </x:c>
      <x:c r="I104" s="26" t="str">
        <x:v>《证据边界》写法骨架。
3个顺序条目、0个表结构；引用占位符切块，不内嵌原项目数值。</x:v>
      </x:c>
      <x:c r="J104" s="26" t="str">
        <x:v>已生成；主章含子节引用，装配须去重；空字数预算/法定模板不补造。</x:v>
      </x:c>
      <x:c r="K104" s="54" t="str">
        <x:v>S3 style/section_templates/SA.H1.yaml：section_id=SA.H1；outline.yaml</x:v>
      </x:c>
      <x:c r="L104" s="58" t="str">
        <x:v>总览第33行</x:v>
      </x:c>
    </x:row>
    <x:row r="105" ht="74" customHeight="1">
      <x:c r="A105" s="80" t="n">
        <x:v>99</x:v>
      </x:c>
      <x:c r="B105" s="80" t="n">
        <x:v>27</x:v>
      </x:c>
      <x:c r="C105" s="5" t="str">
        <x:v>style/section_templates/*.yaml</x:v>
      </x:c>
      <x:c r="D105" s="5" t="str">
        <x:v>style/section_templates/</x:v>
      </x:c>
      <x:c r="E105" s="5" t="str">
        <x:v>style/section_templates/SA.yaml</x:v>
      </x:c>
      <x:c r="F105" s="5" t="str">
        <x:v>YAML</x:v>
      </x:c>
      <x:c r="G105" s="72" t="n">
        <x:v>1185</x:v>
      </x:c>
      <x:c r="H105" s="73" t="n">
        <x:f>G105/'来源与约定'!$B$5</x:f>
        <x:v>1.1572265625</x:v>
      </x:c>
      <x:c r="I105" s="5" t="str">
        <x:v>《附录A  内部资料目录》写法骨架。
7个顺序条目、1个表结构；引用占位符切块，不内嵌原项目数值。</x:v>
      </x:c>
      <x:c r="J105" s="5" t="str">
        <x:v>已生成；主章含子节引用，装配须去重；空字数预算/法定模板不补造。</x:v>
      </x:c>
      <x:c r="K105" s="46" t="str">
        <x:v>S3 style/section_templates/SA.yaml：section_id=SA；outline.yaml</x:v>
      </x:c>
      <x:c r="L105" s="56" t="str">
        <x:v>总览第33行</x:v>
      </x:c>
    </x:row>
    <x:row r="106" ht="76" customHeight="1">
      <x:c r="A106" s="81" t="n">
        <x:v>100</x:v>
      </x:c>
      <x:c r="B106" s="81" t="n">
        <x:v>27</x:v>
      </x:c>
      <x:c r="C106" s="26" t="str">
        <x:v>style/section_templates/*.yaml</x:v>
      </x:c>
      <x:c r="D106" s="26" t="str">
        <x:v>style/section_templates/</x:v>
      </x:c>
      <x:c r="E106" s="26" t="str">
        <x:v>style/section_templates/SB.1.yaml</x:v>
      </x:c>
      <x:c r="F106" s="26" t="str">
        <x:v>YAML</x:v>
      </x:c>
      <x:c r="G106" s="74" t="n">
        <x:v>486</x:v>
      </x:c>
      <x:c r="H106" s="75" t="n">
        <x:f>G106/'来源与约定'!$B$5</x:f>
        <x:v>0.474609375</x:v>
      </x:c>
      <x:c r="I106" s="26" t="str">
        <x:v>《B.1 [资料01] 销售需求预测备忘录》写法骨架。
2个顺序条目、0个表结构；引用占位符切块，不内嵌原项目数值。</x:v>
      </x:c>
      <x:c r="J106" s="26" t="str">
        <x:v>已生成；主章含子节引用，装配须去重；空字数预算/法定模板不补造。</x:v>
      </x:c>
      <x:c r="K106" s="54" t="str">
        <x:v>S3 style/section_templates/SB.1.yaml：section_id=SB.1；outline.yaml</x:v>
      </x:c>
      <x:c r="L106" s="58" t="str">
        <x:v>总览第33行</x:v>
      </x:c>
    </x:row>
    <x:row r="107" ht="76" customHeight="1">
      <x:c r="A107" s="80" t="n">
        <x:v>101</x:v>
      </x:c>
      <x:c r="B107" s="80" t="n">
        <x:v>27</x:v>
      </x:c>
      <x:c r="C107" s="5" t="str">
        <x:v>style/section_templates/*.yaml</x:v>
      </x:c>
      <x:c r="D107" s="5" t="str">
        <x:v>style/section_templates/</x:v>
      </x:c>
      <x:c r="E107" s="5" t="str">
        <x:v>style/section_templates/SB.10.yaml</x:v>
      </x:c>
      <x:c r="F107" s="5" t="str">
        <x:v>YAML</x:v>
      </x:c>
      <x:c r="G107" s="72" t="n">
        <x:v>569</x:v>
      </x:c>
      <x:c r="H107" s="73" t="n">
        <x:f>G107/'来源与约定'!$B$5</x:f>
        <x:v>0.5556640625</x:v>
      </x:c>
      <x:c r="I107" s="5" t="str">
        <x:v>《B.10 [资料10] 实施排期与定员记录》写法骨架。
3个顺序条目、0个表结构；引用占位符切块，不内嵌原项目数值。</x:v>
      </x:c>
      <x:c r="J107" s="5" t="str">
        <x:v>已生成；主章含子节引用，装配须去重；空字数预算/法定模板不补造。</x:v>
      </x:c>
      <x:c r="K107" s="46" t="str">
        <x:v>S3 style/section_templates/SB.10.yaml：section_id=SB.10；outline.yaml</x:v>
      </x:c>
      <x:c r="L107" s="56" t="str">
        <x:v>总览第33行</x:v>
      </x:c>
    </x:row>
    <x:row r="108" ht="76" customHeight="1">
      <x:c r="A108" s="81" t="n">
        <x:v>102</x:v>
      </x:c>
      <x:c r="B108" s="81" t="n">
        <x:v>27</x:v>
      </x:c>
      <x:c r="C108" s="26" t="str">
        <x:v>style/section_templates/*.yaml</x:v>
      </x:c>
      <x:c r="D108" s="26" t="str">
        <x:v>style/section_templates/</x:v>
      </x:c>
      <x:c r="E108" s="26" t="str">
        <x:v>style/section_templates/SB.2.yaml</x:v>
      </x:c>
      <x:c r="F108" s="26" t="str">
        <x:v>YAML</x:v>
      </x:c>
      <x:c r="G108" s="74" t="n">
        <x:v>576</x:v>
      </x:c>
      <x:c r="H108" s="75" t="n">
        <x:f>G108/'来源与约定'!$B$5</x:f>
        <x:v>0.5625</x:v>
      </x:c>
      <x:c r="I108" s="26" t="str">
        <x:v>《B.2 [资料02] 装备方案预比较与能力说明》写法骨架。
3个顺序条目、0个表结构；引用占位符切块，不内嵌原项目数值。</x:v>
      </x:c>
      <x:c r="J108" s="26" t="str">
        <x:v>已生成；主章含子节引用，装配须去重；空字数预算/法定模板不补造。</x:v>
      </x:c>
      <x:c r="K108" s="54" t="str">
        <x:v>S3 style/section_templates/SB.2.yaml：section_id=SB.2；outline.yaml</x:v>
      </x:c>
      <x:c r="L108" s="58" t="str">
        <x:v>总览第33行</x:v>
      </x:c>
    </x:row>
    <x:row r="109" ht="76" customHeight="1">
      <x:c r="A109" s="80" t="n">
        <x:v>103</x:v>
      </x:c>
      <x:c r="B109" s="80" t="n">
        <x:v>27</x:v>
      </x:c>
      <x:c r="C109" s="5" t="str">
        <x:v>style/section_templates/*.yaml</x:v>
      </x:c>
      <x:c r="D109" s="5" t="str">
        <x:v>style/section_templates/</x:v>
      </x:c>
      <x:c r="E109" s="5" t="str">
        <x:v>style/section_templates/SB.3.yaml</x:v>
      </x:c>
      <x:c r="F109" s="5" t="str">
        <x:v>YAML</x:v>
      </x:c>
      <x:c r="G109" s="72" t="n">
        <x:v>567</x:v>
      </x:c>
      <x:c r="H109" s="73" t="n">
        <x:f>G109/'来源与约定'!$B$5</x:f>
        <x:v>0.5537109375</x:v>
      </x:c>
      <x:c r="I109" s="5" t="str">
        <x:v>《B.3 [资料03] 设备与系统询价摘要》写法骨架。
3个顺序条目、0个表结构；引用占位符切块，不内嵌原项目数值。</x:v>
      </x:c>
      <x:c r="J109" s="5" t="str">
        <x:v>已生成；主章含子节引用，装配须去重；空字数预算/法定模板不补造。</x:v>
      </x:c>
      <x:c r="K109" s="46" t="str">
        <x:v>S3 style/section_templates/SB.3.yaml：section_id=SB.3；outline.yaml</x:v>
      </x:c>
      <x:c r="L109" s="56" t="str">
        <x:v>总览第33行</x:v>
      </x:c>
    </x:row>
    <x:row r="110" ht="76" customHeight="1">
      <x:c r="A110" s="81" t="n">
        <x:v>104</x:v>
      </x:c>
      <x:c r="B110" s="81" t="n">
        <x:v>27</x:v>
      </x:c>
      <x:c r="C110" s="26" t="str">
        <x:v>style/section_templates/*.yaml</x:v>
      </x:c>
      <x:c r="D110" s="26" t="str">
        <x:v>style/section_templates/</x:v>
      </x:c>
      <x:c r="E110" s="26" t="str">
        <x:v>style/section_templates/SB.4.yaml</x:v>
      </x:c>
      <x:c r="F110" s="26" t="str">
        <x:v>YAML</x:v>
      </x:c>
      <x:c r="G110" s="74" t="n">
        <x:v>561</x:v>
      </x:c>
      <x:c r="H110" s="75" t="n">
        <x:f>G110/'来源与约定'!$B$5</x:f>
        <x:v>0.5478515625</x:v>
      </x:c>
      <x:c r="I110" s="26" t="str">
        <x:v>《B.4 [资料04] 场地与工程初估》写法骨架。
3个顺序条目、0个表结构；引用占位符切块，不内嵌原项目数值。</x:v>
      </x:c>
      <x:c r="J110" s="26" t="str">
        <x:v>已生成；主章含子节引用，装配须去重；空字数预算/法定模板不补造。</x:v>
      </x:c>
      <x:c r="K110" s="54" t="str">
        <x:v>S3 style/section_templates/SB.4.yaml：section_id=SB.4；outline.yaml</x:v>
      </x:c>
      <x:c r="L110" s="58" t="str">
        <x:v>总览第33行</x:v>
      </x:c>
    </x:row>
    <x:row r="111" ht="76" customHeight="1">
      <x:c r="A111" s="80" t="n">
        <x:v>105</x:v>
      </x:c>
      <x:c r="B111" s="80" t="n">
        <x:v>27</x:v>
      </x:c>
      <x:c r="C111" s="5" t="str">
        <x:v>style/section_templates/*.yaml</x:v>
      </x:c>
      <x:c r="D111" s="5" t="str">
        <x:v>style/section_templates/</x:v>
      </x:c>
      <x:c r="E111" s="5" t="str">
        <x:v>style/section_templates/SB.5.yaml</x:v>
      </x:c>
      <x:c r="F111" s="5" t="str">
        <x:v>YAML</x:v>
      </x:c>
      <x:c r="G111" s="72" t="n">
        <x:v>810</x:v>
      </x:c>
      <x:c r="H111" s="73" t="n">
        <x:f>G111/'来源与约定'!$B$5</x:f>
        <x:v>0.791015625</x:v>
      </x:c>
      <x:c r="I111" s="5" t="str">
        <x:v>《B.5 [资料05] 财务测算参数确认单》写法骨架。
6个顺序条目、0个表结构；引用占位符切块，不内嵌原项目数值。</x:v>
      </x:c>
      <x:c r="J111" s="5" t="str">
        <x:v>已生成；主章含子节引用，装配须去重；空字数预算/法定模板不补造。</x:v>
      </x:c>
      <x:c r="K111" s="46" t="str">
        <x:v>S3 style/section_templates/SB.5.yaml：section_id=SB.5；outline.yaml</x:v>
      </x:c>
      <x:c r="L111" s="56" t="str">
        <x:v>总览第33行</x:v>
      </x:c>
    </x:row>
    <x:row r="112" ht="76" customHeight="1">
      <x:c r="A112" s="81" t="n">
        <x:v>106</x:v>
      </x:c>
      <x:c r="B112" s="81" t="n">
        <x:v>27</x:v>
      </x:c>
      <x:c r="C112" s="26" t="str">
        <x:v>style/section_templates/*.yaml</x:v>
      </x:c>
      <x:c r="D112" s="26" t="str">
        <x:v>style/section_templates/</x:v>
      </x:c>
      <x:c r="E112" s="26" t="str">
        <x:v>style/section_templates/SB.6.yaml</x:v>
      </x:c>
      <x:c r="F112" s="26" t="str">
        <x:v>YAML</x:v>
      </x:c>
      <x:c r="G112" s="74" t="n">
        <x:v>648</x:v>
      </x:c>
      <x:c r="H112" s="75" t="n">
        <x:f>G112/'来源与约定'!$B$5</x:f>
        <x:v>0.6328125</x:v>
      </x:c>
      <x:c r="I112" s="26" t="str">
        <x:v>《B.6 [资料06A]、[资料06B] 配电资料》写法骨架。
4个顺序条目、0个表结构；引用占位符切块，不内嵌原项目数值。</x:v>
      </x:c>
      <x:c r="J112" s="26" t="str">
        <x:v>已生成；主章含子节引用，装配须去重；空字数预算/法定模板不补造。</x:v>
      </x:c>
      <x:c r="K112" s="54" t="str">
        <x:v>S3 style/section_templates/SB.6.yaml：section_id=SB.6；outline.yaml</x:v>
      </x:c>
      <x:c r="L112" s="58" t="str">
        <x:v>总览第33行</x:v>
      </x:c>
    </x:row>
    <x:row r="113" ht="76" customHeight="1">
      <x:c r="A113" s="80" t="n">
        <x:v>107</x:v>
      </x:c>
      <x:c r="B113" s="80" t="n">
        <x:v>27</x:v>
      </x:c>
      <x:c r="C113" s="5" t="str">
        <x:v>style/section_templates/*.yaml</x:v>
      </x:c>
      <x:c r="D113" s="5" t="str">
        <x:v>style/section_templates/</x:v>
      </x:c>
      <x:c r="E113" s="5" t="str">
        <x:v>style/section_templates/SB.7.yaml</x:v>
      </x:c>
      <x:c r="F113" s="5" t="str">
        <x:v>YAML</x:v>
      </x:c>
      <x:c r="G113" s="72" t="n">
        <x:v>615</x:v>
      </x:c>
      <x:c r="H113" s="73" t="n">
        <x:f>G113/'来源与约定'!$B$5</x:f>
        <x:v>0.6005859375</x:v>
      </x:c>
      <x:c r="I113" s="5" t="str">
        <x:v>《B.7 [资料07] 现场踏勘问题清单》写法骨架。
2个顺序条目、0个表结构；引用占位符切块，不内嵌原项目数值。</x:v>
      </x:c>
      <x:c r="J113" s="5" t="str">
        <x:v>已生成；主章含子节引用，装配须去重；空字数预算/法定模板不补造。</x:v>
      </x:c>
      <x:c r="K113" s="46" t="str">
        <x:v>S3 style/section_templates/SB.7.yaml：section_id=SB.7；outline.yaml</x:v>
      </x:c>
      <x:c r="L113" s="56" t="str">
        <x:v>总览第33行</x:v>
      </x:c>
    </x:row>
    <x:row r="114" ht="76" customHeight="1">
      <x:c r="A114" s="81" t="n">
        <x:v>108</x:v>
      </x:c>
      <x:c r="B114" s="81" t="n">
        <x:v>27</x:v>
      </x:c>
      <x:c r="C114" s="26" t="str">
        <x:v>style/section_templates/*.yaml</x:v>
      </x:c>
      <x:c r="D114" s="26" t="str">
        <x:v>style/section_templates/</x:v>
      </x:c>
      <x:c r="E114" s="26" t="str">
        <x:v>style/section_templates/SB.8.yaml</x:v>
      </x:c>
      <x:c r="F114" s="26" t="str">
        <x:v>YAML</x:v>
      </x:c>
      <x:c r="G114" s="74" t="n">
        <x:v>564</x:v>
      </x:c>
      <x:c r="H114" s="75" t="n">
        <x:f>G114/'来源与约定'!$B$5</x:f>
        <x:v>0.55078125</x:v>
      </x:c>
      <x:c r="I114" s="26" t="str">
        <x:v>《B.8 [资料08] 项目预审会议纪要》写法骨架。
3个顺序条目、0个表结构；引用占位符切块，不内嵌原项目数值。</x:v>
      </x:c>
      <x:c r="J114" s="26" t="str">
        <x:v>已生成；主章含子节引用，装配须去重；空字数预算/法定模板不补造。</x:v>
      </x:c>
      <x:c r="K114" s="54" t="str">
        <x:v>S3 style/section_templates/SB.8.yaml：section_id=SB.8；outline.yaml</x:v>
      </x:c>
      <x:c r="L114" s="58" t="str">
        <x:v>总览第33行</x:v>
      </x:c>
    </x:row>
    <x:row r="115" ht="76" customHeight="1">
      <x:c r="A115" s="80" t="n">
        <x:v>109</x:v>
      </x:c>
      <x:c r="B115" s="80" t="n">
        <x:v>27</x:v>
      </x:c>
      <x:c r="C115" s="5" t="str">
        <x:v>style/section_templates/*.yaml</x:v>
      </x:c>
      <x:c r="D115" s="5" t="str">
        <x:v>style/section_templates/</x:v>
      </x:c>
      <x:c r="E115" s="5" t="str">
        <x:v>style/section_templates/SB.9.yaml</x:v>
      </x:c>
      <x:c r="F115" s="5" t="str">
        <x:v>YAML</x:v>
      </x:c>
      <x:c r="G115" s="72" t="n">
        <x:v>487</x:v>
      </x:c>
      <x:c r="H115" s="73" t="n">
        <x:f>G115/'来源与约定'!$B$5</x:f>
        <x:v>0.4755859375</x:v>
      </x:c>
      <x:c r="I115" s="5" t="str">
        <x:v>《B.9 [资料09] 2025年旧业务经营摘要》写法骨架。
2个顺序条目、0个表结构；引用占位符切块，不内嵌原项目数值。</x:v>
      </x:c>
      <x:c r="J115" s="5" t="str">
        <x:v>已生成；主章含子节引用，装配须去重；空字数预算/法定模板不补造。</x:v>
      </x:c>
      <x:c r="K115" s="46" t="str">
        <x:v>S3 style/section_templates/SB.9.yaml：section_id=SB.9；outline.yaml</x:v>
      </x:c>
      <x:c r="L115" s="56" t="str">
        <x:v>总览第33行</x:v>
      </x:c>
    </x:row>
    <x:row r="116" ht="74" customHeight="1">
      <x:c r="A116" s="81" t="n">
        <x:v>110</x:v>
      </x:c>
      <x:c r="B116" s="81" t="n">
        <x:v>27</x:v>
      </x:c>
      <x:c r="C116" s="26" t="str">
        <x:v>style/section_templates/*.yaml</x:v>
      </x:c>
      <x:c r="D116" s="26" t="str">
        <x:v>style/section_templates/</x:v>
      </x:c>
      <x:c r="E116" s="26" t="str">
        <x:v>style/section_templates/SB.H11.yaml</x:v>
      </x:c>
      <x:c r="F116" s="26" t="str">
        <x:v>YAML</x:v>
      </x:c>
      <x:c r="G116" s="74" t="n">
        <x:v>656</x:v>
      </x:c>
      <x:c r="H116" s="75" t="n">
        <x:f>G116/'来源与约定'!$B$5</x:f>
        <x:v>0.640625</x:v>
      </x:c>
      <x:c r="I116" s="26" t="str">
        <x:v>《资料使用终止说明》写法骨架。
2个顺序条目、0个表结构；引用占位符切块，不内嵌原项目数值。</x:v>
      </x:c>
      <x:c r="J116" s="26" t="str">
        <x:v>已生成；主章含子节引用，装配须去重；空字数预算/法定模板不补造。</x:v>
      </x:c>
      <x:c r="K116" s="54" t="str">
        <x:v>S3 style/section_templates/SB.H11.yaml：section_id=SB.H11；outline.yaml</x:v>
      </x:c>
      <x:c r="L116" s="58" t="str">
        <x:v>总览第33行</x:v>
      </x:c>
    </x:row>
    <x:row r="117" ht="74" customHeight="1">
      <x:c r="A117" s="80" t="n">
        <x:v>111</x:v>
      </x:c>
      <x:c r="B117" s="80" t="n">
        <x:v>27</x:v>
      </x:c>
      <x:c r="C117" s="5" t="str">
        <x:v>style/section_templates/*.yaml</x:v>
      </x:c>
      <x:c r="D117" s="5" t="str">
        <x:v>style/section_templates/</x:v>
      </x:c>
      <x:c r="E117" s="5" t="str">
        <x:v>style/section_templates/SB.yaml</x:v>
      </x:c>
      <x:c r="F117" s="5" t="str">
        <x:v>YAML</x:v>
      </x:c>
      <x:c r="G117" s="72" t="n">
        <x:v>3525</x:v>
      </x:c>
      <x:c r="H117" s="73" t="n">
        <x:f>G117/'来源与约定'!$B$5</x:f>
        <x:v>3.4423828125</x:v>
      </x:c>
      <x:c r="I117" s="5" t="str">
        <x:v>《附录B  关键资料摘录（1）》写法骨架。
36个顺序条目、0个表结构；引用占位符切块，不内嵌原项目数值。</x:v>
      </x:c>
      <x:c r="J117" s="5" t="str">
        <x:v>已生成；主章含子节引用，装配须去重；空字数预算/法定模板不补造。</x:v>
      </x:c>
      <x:c r="K117" s="46" t="str">
        <x:v>S3 style/section_templates/SB.yaml：section_id=SB；outline.yaml</x:v>
      </x:c>
      <x:c r="L117" s="56" t="str">
        <x:v>总览第33行</x:v>
      </x:c>
    </x:row>
    <x:row r="118" ht="91" customHeight="1">
      <x:c r="A118" s="81" t="n">
        <x:v>112</x:v>
      </x:c>
      <x:c r="B118" s="81" t="n">
        <x:v>28</x:v>
      </x:c>
      <x:c r="C118" s="26" t="str">
        <x:v>index/node_index.json</x:v>
      </x:c>
      <x:c r="D118" s="26" t="str">
        <x:v>index/</x:v>
      </x:c>
      <x:c r="E118" s="26" t="str">
        <x:v>index/node_index.json</x:v>
      </x:c>
      <x:c r="F118" s="26" t="str">
        <x:v>JSON</x:v>
      </x:c>
      <x:c r="G118" s="74" t="n">
        <x:v>1236781</x:v>
      </x:c>
      <x:c r="H118" s="75" t="n">
        <x:f>G118/'来源与约定'!$B$5</x:f>
        <x:v>1207.7939453125</x:v>
      </x:c>
      <x:c r="I118" s="26" t="str">
        <x:v>节点到正文的倒排位置索引：查某个值出现在哪些切块、表格和章节，并关联其上下游和问题。
本包：以N001等节点ID为顶层键；339项索引；登记630处绑定。</x:v>
      </x:c>
      <x:c r="J118" s="26" t="str">
        <x:v>已生成；查询原语料出现位置，不等同于新项目drafts/node_mentions.jsonl。</x:v>
      </x:c>
      <x:c r="K118" s="54" t="str">
        <x:v>S1 §1.2/1.5/2.2；S3 index/node_index.json</x:v>
      </x:c>
      <x:c r="L118" s="58" t="str">
        <x:v>总览第34行</x:v>
      </x:c>
    </x:row>
    <x:row r="119" ht="91" customHeight="1">
      <x:c r="A119" s="80" t="n">
        <x:v>113</x:v>
      </x:c>
      <x:c r="B119" s="80" t="n">
        <x:v>29</x:v>
      </x:c>
      <x:c r="C119" s="5" t="str">
        <x:v>index/term_index.json</x:v>
      </x:c>
      <x:c r="D119" s="5" t="str">
        <x:v>index/</x:v>
      </x:c>
      <x:c r="E119" s="5" t="str">
        <x:v>index/term_index.json</x:v>
      </x:c>
      <x:c r="F119" s="5" t="str">
        <x:v>JSON</x:v>
      </x:c>
      <x:c r="G119" s="72" t="n">
        <x:v>19844</x:v>
      </x:c>
      <x:c r="H119" s="73" t="n">
        <x:f>G119/'来源与约定'!$B$5</x:f>
        <x:v>19.37890625</x:v>
      </x:c>
      <x:c r="I119" s="5" t="str">
        <x:v>术语和别名归一索引：将同一业务量的不同叫法归到统一标签，供精确、同义匹配使用。
本包：20条术语记录；包含exact_label_index及matching_policy。</x:v>
      </x:c>
      <x:c r="J119" s="5" t="str">
        <x:v>已生成；相同数字或近似名称不代表同一事实，仍要核对单位、口径和期间。</x:v>
      </x:c>
      <x:c r="K119" s="46" t="str">
        <x:v>S1 §1.2/1.5/2.2；S3 index/term_index.json</x:v>
      </x:c>
      <x:c r="L119" s="56" t="str">
        <x:v>总览第35行</x:v>
      </x:c>
    </x:row>
    <x:row r="120" ht="91" customHeight="1">
      <x:c r="A120" s="81" t="n">
        <x:v>114</x:v>
      </x:c>
      <x:c r="B120" s="81" t="n">
        <x:v>30</x:v>
      </x:c>
      <x:c r="C120" s="26" t="str">
        <x:v>index/signature.yaml</x:v>
      </x:c>
      <x:c r="D120" s="26" t="str">
        <x:v>index/</x:v>
      </x:c>
      <x:c r="E120" s="26" t="str">
        <x:v>index/signature.yaml</x:v>
      </x:c>
      <x:c r="F120" s="26" t="str">
        <x:v>YAML</x:v>
      </x:c>
      <x:c r="G120" s="74" t="n">
        <x:v>1221</x:v>
      </x:c>
      <x:c r="H120" s="75" t="n">
        <x:f>G120/'来源与约定'!$B$5</x:f>
        <x:v>1.1923828125</x:v>
      </x:c>
      <x:c r="I120" s="26" t="str">
        <x:v>语料匹配特征摘要：汇总行业、项目类型、规模引用、章节和规则特征，用于挑选相似起点语料。
本包：已保存结构化特征；vector、embedding_model和匹配权重均为空。</x:v>
      </x:c>
      <x:c r="J120" s="60" t="str">
        <x:v>部分完成：结构化特征存在，向量及匹配权重为空。</x:v>
      </x:c>
      <x:c r="K120" s="54" t="str">
        <x:v>S1 §1.2/1.5/2.2；S3 index/signature.yaml</x:v>
      </x:c>
      <x:c r="L120" s="58" t="str">
        <x:v>总览第36行</x:v>
      </x:c>
    </x:row>
    <x:row r="121" ht="74" customHeight="1">
      <x:c r="A121" s="82" t="n">
        <x:v>115</x:v>
      </x:c>
      <x:c r="B121" s="82" t="n">
        <x:v>0</x:v>
      </x:c>
      <x:c r="C121" s="62" t="str">
        <x:v>交付使用说明</x:v>
      </x:c>
      <x:c r="D121" s="62" t="str">
        <x:v>./（根目录）</x:v>
      </x:c>
      <x:c r="E121" s="5" t="str">
        <x:v>README.md</x:v>
      </x:c>
      <x:c r="F121" s="5" t="str">
        <x:v>Markdown</x:v>
      </x:c>
      <x:c r="G121" s="72" t="n">
        <x:v>7120</x:v>
      </x:c>
      <x:c r="H121" s="73" t="n">
        <x:f>G121/'来源与约定'!$B$5</x:f>
        <x:v>6.953125</x:v>
      </x:c>
      <x:c r="I121" s="5" t="str">
        <x:v>说明来源、目录、原生格式、业务边界、向量未生成状态和校验方法。</x:v>
      </x:c>
      <x:c r="J121" s="5" t="str">
        <x:v>辅助文档；不属于30类业务产物。</x:v>
      </x:c>
      <x:c r="K121" s="46" t="str">
        <x:v>S3 README.md；S5 README</x:v>
      </x:c>
      <x:c r="L121" s="56" t="str">
        <x:v>辅助文件
见阅读导航</x:v>
      </x:c>
    </x:row>
    <x:row r="122" ht="74" customHeight="1">
      <x:c r="A122" s="82" t="n">
        <x:v>116</x:v>
      </x:c>
      <x:c r="B122" s="82" t="n">
        <x:v>0</x:v>
      </x:c>
      <x:c r="C122" s="62" t="str">
        <x:v>文件校验和清单</x:v>
      </x:c>
      <x:c r="D122" s="62" t="str">
        <x:v>./（根目录）</x:v>
      </x:c>
      <x:c r="E122" s="26" t="str">
        <x:v>SHA256SUMS</x:v>
      </x:c>
      <x:c r="F122" s="26" t="str">
        <x:v>文本</x:v>
      </x:c>
      <x:c r="G122" s="74" t="n">
        <x:v>10890</x:v>
      </x:c>
      <x:c r="H122" s="75" t="n">
        <x:f>G122/'来源与约定'!$B$5</x:f>
        <x:v>10.634765625</x:v>
      </x:c>
      <x:c r="I122" s="26" t="str">
        <x:v>记录其余116个文件的SHA-256；用于检验文件内容是否被改动，不计算自身。</x:v>
      </x:c>
      <x:c r="J122" s="26" t="str">
        <x:v>辅助完整性索引；校验和一致不代表语义或业务结论正确。</x:v>
      </x:c>
      <x:c r="K122" s="54" t="str">
        <x:v>S3 SHA256SUMS；S5 README</x:v>
      </x:c>
      <x:c r="L122" s="58" t="str">
        <x:v>辅助文件
见阅读导航</x:v>
      </x:c>
    </x:row>
    <x:row r="123" ht="74" customHeight="1">
      <x:c r="A123" s="82" t="n">
        <x:v>117</x:v>
      </x:c>
      <x:c r="B123" s="82" t="n">
        <x:v>0</x:v>
      </x:c>
      <x:c r="C123" s="62" t="str">
        <x:v>离线校验脚本</x:v>
      </x:c>
      <x:c r="D123" s="62" t="str">
        <x:v>./（根目录）</x:v>
      </x:c>
      <x:c r="E123" s="5" t="str">
        <x:v>validate_package.py</x:v>
      </x:c>
      <x:c r="F123" s="5" t="str">
        <x:v>Python</x:v>
      </x:c>
      <x:c r="G123" s="72" t="n">
        <x:v>17563</x:v>
      </x:c>
      <x:c r="H123" s="73" t="n">
        <x:f>G123/'来源与约定'!$B$5</x:f>
        <x:v>17.1513671875</x:v>
      </x:c>
      <x:c r="I123" s="5" t="str">
        <x:v>检查文件格式、哈希、引用、原文还原和规则回放；使用方法见README。</x:v>
      </x:c>
      <x:c r="J123" s="5" t="str">
        <x:v>辅助脚本；本次编制Excel未执行它，不能据此新增一次回放通过声明。</x:v>
      </x:c>
      <x:c r="K123" s="46" t="str">
        <x:v>S3 validate_package.py；S5 README</x:v>
      </x:c>
      <x:c r="L123" s="56" t="str">
        <x:v>辅助文件
见阅读导航</x:v>
      </x:c>
    </x:row>
    <x:row r="124" ht="22" customHeight="1">
      <x:c r="A124" s="5"/>
      <x:c r="B124" s="5"/>
      <x:c r="C124" s="5"/>
      <x:c r="D124" s="5"/>
      <x:c r="E124" s="5"/>
      <x:c r="F124" s="5"/>
      <x:c r="G124" s="72"/>
      <x:c r="H124" s="73"/>
      <x:c r="I124" s="5"/>
      <x:c r="J124" s="5"/>
      <x:c r="K124" s="5"/>
      <x:c r="L124" s="5"/>
    </x:row>
    <x:row r="125" ht="36" customHeight="1">
      <x:c r="A125" s="90" t="str">
        <x:v>全部交付文件合计（含3个辅助文件）</x:v>
      </x:c>
      <x:c r="B125" s="90"/>
      <x:c r="C125" s="90"/>
      <x:c r="D125" s="90"/>
      <x:c r="E125" s="90"/>
      <x:c r="F125" s="90"/>
      <x:c r="G125" s="91" t="n">
        <x:f>SUM(G7:G123)</x:f>
        <x:v>5492483</x:v>
      </x:c>
      <x:c r="H125" s="92" t="n">
        <x:f>SUM(H7:H123)</x:f>
        <x:v>5363.7529296875</x:v>
      </x:c>
      <x:c r="I125" s="90"/>
      <x:c r="J125" s="90"/>
      <x:c r="K125" s="90"/>
      <x:c r="L125" s="90"/>
    </x:row>
  </x:sheetData>
  <x:mergeCells>
    <x:mergeCell ref="A1:L2"/>
    <x:mergeCell ref="A3:L3"/>
    <x:mergeCell ref="A4:L4"/>
    <x:mergeCell ref="A125:F125"/>
  </x:mergeCells>
  <x:pageMargins left="0.7" right="0.7" top="0.75" bottom="0.75" header="0.3" footer="0.3"/>
  <x:tableParts count="1">
    <x:tablePart xmlns:r="http://schemas.openxmlformats.org/officeDocument/2006/relationships" r:id="R2923ff73b3e844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</x:cols>
  <x:sheetData>
    <x:row r="1" ht="23" customHeight="1">
      <x:c r="A1" s="12" t="str">
        <x:v>来源与约定｜哪些来自规范，哪些来自本包实查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3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9" customHeight="1">
      <x:c r="A3" s="17" t="str">
        <x:v>不补造未提供的信息；本表仅说明文件，不改动抽取包、不重跑业务推演，也不增加数据库或MCP服务。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118" t="str">
        <x:v>字节/KiB</x:v>
      </x:c>
      <x:c r="B5" s="150" t="n">
        <x:v>1024</x:v>
      </x:c>
      <x:c r="C5" s="118" t="str">
        <x:v>实际大小（KiB）＝解压后字节数 ÷ 1024；原表量级仅为规范中的示例范围。</x:v>
      </x:c>
      <x:c r="D5" s="118"/>
      <x:c r="E5" s="118"/>
      <x:c r="F5" s="118"/>
      <x:c r="G5" s="118"/>
      <x:c r="H5" s="118"/>
      <x:c r="I5" s="118"/>
      <x:c r="J5" s="118"/>
      <x:c r="K5" s="118"/>
      <x:c r="L5" s="118"/>
    </x:row>
    <x:row r="6" ht="22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8" customHeight="1">
      <x:c r="A7" s="115" t="str">
        <x:v>信息来源（表内S1—S6对应下列项目）</x:v>
      </x:c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  <x:c r="L7" s="115"/>
    </x:row>
    <x:row r="8" ht="81" customHeight="1">
      <x:c r="A8" s="138" t="str">
        <x:v>S1</x:v>
      </x:c>
      <x:c r="B8" s="138" t="str">
        <x:v>用户提供的规范</x:v>
      </x:c>
      <x:c r="C8" s="138"/>
      <x:c r="D8" s="138"/>
      <x:c r="E8" s="152" t="str">
        <x:v>语义图谱产物存储调用与双向Diff规范(1).md</x:v>
      </x:c>
      <x:c r="F8" s="152"/>
      <x:c r="G8" s="152"/>
      <x:c r="H8" s="152"/>
      <x:c r="I8" s="122" t="str">
        <x:v>V2.0；§1.1–1.6、§2.1–2.2
原9列、各产物作用、工序、Agent调用和存储设计。</x:v>
      </x:c>
      <x:c r="J8" s="122"/>
      <x:c r="K8" s="122"/>
      <x:c r="L8" s="122"/>
    </x:row>
    <x:row r="9" ht="81" customHeight="1">
      <x:c r="A9" s="128" t="str">
        <x:v>S2</x:v>
      </x:c>
      <x:c r="B9" s="128" t="str">
        <x:v>本次实查压缩包</x:v>
      </x:c>
      <x:c r="C9" s="128"/>
      <x:c r="D9" s="128"/>
      <x:c r="E9" s="154" t="str">
        <x:v>澄岳精密_30类产物_原始格式包.zip</x:v>
      </x:c>
      <x:c r="F9" s="154"/>
      <x:c r="G9" s="154"/>
      <x:c r="H9" s="154"/>
      <x:c r="I9" s="118" t="str">
        <x:v>117个文件；ZIP目录和每个成员的file_size
实际路径、实际文件数、解压后体积；不是规范的预估KB。</x:v>
      </x:c>
      <x:c r="J9" s="118"/>
      <x:c r="K9" s="118"/>
      <x:c r="L9" s="118"/>
    </x:row>
    <x:row r="10" ht="81" customHeight="1">
      <x:c r="A10" s="138" t="str">
        <x:v>S3</x:v>
      </x:c>
      <x:c r="B10" s="138" t="str">
        <x:v>包内清单及具体文件</x:v>
      </x:c>
      <x:c r="C10" s="138"/>
      <x:c r="D10" s="138"/>
      <x:c r="E10" s="152" t="str">
        <x:v>manifest.yaml；各行指定的实际路径</x:v>
      </x:c>
      <x:c r="F10" s="152"/>
      <x:c r="G10" s="152"/>
      <x:c r="H10" s="152"/>
      <x:c r="I10" s="122" t="str">
        <x:v>v2 / cy-corpus-native/1.0
产物身份、实际记录、内容状态及文件内字段。</x:v>
      </x:c>
      <x:c r="J10" s="122"/>
      <x:c r="K10" s="122"/>
      <x:c r="L10" s="122"/>
    </x:row>
    <x:row r="11" ht="81" customHeight="1">
      <x:c r="A11" s="128" t="str">
        <x:v>S4</x:v>
      </x:c>
      <x:c r="B11" s="128" t="str">
        <x:v>包内溯源</x:v>
      </x:c>
      <x:c r="C11" s="128"/>
      <x:c r="D11" s="128"/>
      <x:c r="E11" s="154" t="str">
        <x:v>provenance.yaml</x:v>
      </x:c>
      <x:c r="F11" s="154"/>
      <x:c r="G11" s="154"/>
      <x:c r="H11" s="154"/>
      <x:c r="I11" s="118" t="str">
        <x:v>artifact_metadata与native_format_export
18个CSV的原表标题/位置；转换说明与辅助元信息。</x:v>
      </x:c>
      <x:c r="J11" s="118"/>
      <x:c r="K11" s="118"/>
      <x:c r="L11" s="118"/>
    </x:row>
    <x:row r="12" ht="81" customHeight="1">
      <x:c r="A12" s="138" t="str">
        <x:v>S5</x:v>
      </x:c>
      <x:c r="B12" s="138" t="str">
        <x:v>包内使用说明</x:v>
      </x:c>
      <x:c r="C12" s="138"/>
      <x:c r="D12" s="138"/>
      <x:c r="E12" s="152" t="str">
        <x:v>README.md</x:v>
      </x:c>
      <x:c r="F12" s="152"/>
      <x:c r="G12" s="152"/>
      <x:c r="H12" s="152"/>
      <x:c r="I12" s="122" t="str">
        <x:v>§2目录；§3结构；§4向量；§5边界；§6检查
格式边界、交付辅助文件、冻结证据与未实现事项。</x:v>
      </x:c>
      <x:c r="J12" s="122"/>
      <x:c r="K12" s="122"/>
      <x:c r="L12" s="122"/>
    </x:row>
    <x:row r="13" ht="81" customHeight="1">
      <x:c r="A13" s="128" t="str">
        <x:v>S6</x:v>
      </x:c>
      <x:c r="B13" s="128" t="str">
        <x:v>本次编表统计</x:v>
      </x:c>
      <x:c r="C13" s="128"/>
      <x:c r="D13" s="128"/>
      <x:c r="E13" s="154" t="str">
        <x:v>逐文件明细!G7:G123；30类产物总览!N7:O36</x:v>
      </x:c>
      <x:c r="F13" s="154"/>
      <x:c r="G13" s="154"/>
      <x:c r="H13" s="154"/>
      <x:c r="I13" s="118" t="str">
        <x:v>文件字节实查＋Excel公式
文件数和KiB汇总，不是一次重新执行的业务校验。</x:v>
      </x:c>
      <x:c r="J13" s="118"/>
      <x:c r="K13" s="118"/>
      <x:c r="L13" s="118"/>
    </x:row>
    <x:row r="14" ht="22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28" customHeight="1">
      <x:c r="A15" s="115" t="str">
        <x:v>列和符号怎么理解</x:v>
      </x:c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</x:row>
    <x:row r="16" ht="51" customHeight="1">
      <x:c r="A16" s="138" t="str">
        <x:v>路径</x:v>
      </x:c>
      <x:c r="B16" s="138"/>
      <x:c r="C16" s="138"/>
      <x:c r="D16" s="122" t="str">
        <x:v>全部是相对解压根目录的路径；./表示根目录。按总览路径在明细表中筛选或查找，路径不会自动打开本地文件。</x:v>
      </x:c>
      <x:c r="E16" s="122"/>
      <x:c r="F16" s="122"/>
      <x:c r="G16" s="122"/>
      <x:c r="H16" s="122"/>
      <x:c r="I16" s="122"/>
      <x:c r="J16" s="122"/>
      <x:c r="K16" s="122"/>
      <x:c r="L16" s="122"/>
    </x:row>
    <x:row r="17" ht="51" customHeight="1">
      <x:c r="A17" s="128" t="str">
        <x:v>量级 vs 实际大小</x:v>
      </x:c>
      <x:c r="B17" s="128"/>
      <x:c r="C17" s="128"/>
      <x:c r="D17" s="118" t="str">
        <x:v>总览E列是原规范示例；O列是本包实际KiB。差异不是缺文件的证据，也不应按示例补空内容。</x:v>
      </x:c>
      <x:c r="E17" s="118"/>
      <x:c r="F17" s="118"/>
      <x:c r="G17" s="118"/>
      <x:c r="H17" s="118"/>
      <x:c r="I17" s="118"/>
      <x:c r="J17" s="118"/>
      <x:c r="K17" s="118"/>
      <x:c r="L17" s="118"/>
    </x:row>
    <x:row r="18" ht="51" customHeight="1">
      <x:c r="A18" s="138" t="str">
        <x:v>主存 / 副本</x:v>
      </x:c>
      <x:c r="B18" s="138"/>
      <x:c r="C18" s="138"/>
      <x:c r="D18" s="122" t="str">
        <x:v>按原规范保留权威存储和冗余存储设计。本包实际为离线文件，manifest.runtime_storage_deployed=false。</x:v>
      </x:c>
      <x:c r="E18" s="122"/>
      <x:c r="F18" s="122"/>
      <x:c r="G18" s="122"/>
      <x:c r="H18" s="122"/>
      <x:c r="I18" s="122"/>
      <x:c r="J18" s="122"/>
      <x:c r="K18" s="122"/>
      <x:c r="L18" s="122"/>
    </x:row>
    <x:row r="19" ht="51" customHeight="1">
      <x:c r="A19" s="128" t="str">
        <x:v>冻结 / 可更新 / 追加</x:v>
      </x:c>
      <x:c r="B19" s="128"/>
      <x:c r="C19" s="128"/>
      <x:c r="D19" s="118" t="str">
        <x:v>冻结：修订另建版本、不原地改；可更新：按规范走轻量版本；追加：事件日志增加记录。此列不是Excel编辑权限。</x:v>
      </x:c>
      <x:c r="E19" s="118"/>
      <x:c r="F19" s="118"/>
      <x:c r="G19" s="118"/>
      <x:c r="H19" s="118"/>
      <x:c r="I19" s="118"/>
      <x:c r="J19" s="118"/>
      <x:c r="K19" s="118"/>
      <x:c r="L19" s="118"/>
    </x:row>
    <x:row r="20" ht="51" customHeight="1">
      <x:c r="A20" s="138" t="str">
        <x:v>① 注入</x:v>
      </x:c>
      <x:c r="B20" s="138"/>
      <x:c r="C20" s="138"/>
      <x:c r="D20" s="122" t="str">
        <x:v>选定内容拼入写作Agent的system prompt；例如manifest仅注入constraints，而非整包。</x:v>
      </x:c>
      <x:c r="E20" s="122"/>
      <x:c r="F20" s="122"/>
      <x:c r="G20" s="122"/>
      <x:c r="H20" s="122"/>
      <x:c r="I20" s="122"/>
      <x:c r="J20" s="122"/>
      <x:c r="K20" s="122"/>
      <x:c r="L20" s="122"/>
    </x:row>
    <x:row r="21" ht="51" customHeight="1">
      <x:c r="A21" s="128" t="str">
        <x:v>② 工具</x:v>
      </x:c>
      <x:c r="B21" s="128"/>
      <x:c r="C21" s="128"/>
      <x:c r="D21" s="118" t="str">
        <x:v>通过工具按需读取切片、结果或解释，不代表可把整份源文件交给Agent。</x:v>
      </x:c>
      <x:c r="E21" s="118"/>
      <x:c r="F21" s="118"/>
      <x:c r="G21" s="118"/>
      <x:c r="H21" s="118"/>
      <x:c r="I21" s="118"/>
      <x:c r="J21" s="118"/>
      <x:c r="K21" s="118"/>
      <x:c r="L21" s="118"/>
    </x:row>
    <x:row r="22" ht="51" customHeight="1">
      <x:c r="A22" s="138" t="str">
        <x:v>③ 内嵌</x:v>
      </x:c>
      <x:c r="B22" s="138"/>
      <x:c r="C22" s="138"/>
      <x:c r="D22" s="122" t="str">
        <x:v>编排器将本章节相关条目装入工作包，例如论断、冲突和缺口。</x:v>
      </x:c>
      <x:c r="E22" s="122"/>
      <x:c r="F22" s="122"/>
      <x:c r="G22" s="122"/>
      <x:c r="H22" s="122"/>
      <x:c r="I22" s="122"/>
      <x:c r="J22" s="122"/>
      <x:c r="K22" s="122"/>
      <x:c r="L22" s="122"/>
    </x:row>
    <x:row r="23" ht="51" customHeight="1">
      <x:c r="A23" s="128" t="str">
        <x:v>✕ 不可达</x:v>
      </x:c>
      <x:c r="B23" s="128"/>
      <x:c r="C23" s="128"/>
      <x:c r="D23" s="118" t="str">
        <x:v>原规范中写作Agent无直接读取路径；不妨碍入库程序和人工按权限核对原件。</x:v>
      </x:c>
      <x:c r="E23" s="118"/>
      <x:c r="F23" s="118"/>
      <x:c r="G23" s="118"/>
      <x:c r="H23" s="118"/>
      <x:c r="I23" s="118"/>
      <x:c r="J23" s="118"/>
      <x:c r="K23" s="118"/>
      <x:c r="L23" s="118"/>
    </x:row>
    <x:row r="24" ht="51" customHeight="1">
      <x:c r="A24" s="138" t="str">
        <x:v>工序编号</x:v>
      </x:c>
      <x:c r="B24" s="138"/>
      <x:c r="C24" s="138"/>
      <x:c r="D24" s="122" t="str">
        <x:v>0原件接收；1归一化；2骨架抽取；3切块；4本体抽取；5推演回放；6质量登记；7脱敏与索引；全程为贯穿处理。</x:v>
      </x:c>
      <x:c r="E24" s="122"/>
      <x:c r="F24" s="122"/>
      <x:c r="G24" s="122"/>
      <x:c r="H24" s="122"/>
      <x:c r="I24" s="122"/>
      <x:c r="J24" s="122"/>
      <x:c r="K24" s="122"/>
      <x:c r="L24" s="122"/>
    </x:row>
    <x:row r="25" ht="51" customHeight="1">
      <x:c r="A25" s="128" t="str">
        <x:v>向量状态</x:v>
      </x:c>
      <x:c r="B25" s="128"/>
      <x:c r="C25" s="128"/>
      <x:c r="D25" s="118" t="str">
        <x:v>第11项：文件存在但0行、not_generated；第30项：结构化特征存在但vector=null。均不是可用真实向量。</x:v>
      </x:c>
      <x:c r="E25" s="118"/>
      <x:c r="F25" s="118"/>
      <x:c r="G25" s="118"/>
      <x:c r="H25" s="118"/>
      <x:c r="I25" s="118"/>
      <x:c r="J25" s="118"/>
      <x:c r="K25" s="118"/>
      <x:c r="L25" s="118"/>
    </x:row>
    <x:row r="26" ht="51" customHeight="1">
      <x:c r="A26" s="138" t="str">
        <x:v>pass_with_notes</x:v>
      </x:c>
      <x:c r="B26" s="138"/>
      <x:c r="C26" s="138"/>
      <x:c r="D26" s="122" t="str">
        <x:v>包内既有闸门结论，表示检查带有保留事项；不是项目批准、融资落实或语义准确率100%。</x:v>
      </x:c>
      <x:c r="E26" s="122"/>
      <x:c r="F26" s="122"/>
      <x:c r="G26" s="122"/>
      <x:c r="H26" s="122"/>
      <x:c r="I26" s="122"/>
      <x:c r="J26" s="122"/>
      <x:c r="K26" s="122"/>
      <x:c r="L26" s="122"/>
    </x:row>
    <x:row r="27" ht="51" customHeight="1">
      <x:c r="A27" s="128" t="str">
        <x:v>证据边界</x:v>
      </x:c>
      <x:c r="B27" s="128"/>
      <x:c r="C27" s="128"/>
      <x:c r="D27" s="118" t="str">
        <x:v>本样本企业、项目、资料和数值均为虚构。内嵌摘录不等于取得内部资料完整原件；归档证据不可随新情景回写。</x:v>
      </x:c>
      <x:c r="E27" s="118"/>
      <x:c r="F27" s="118"/>
      <x:c r="G27" s="118"/>
      <x:c r="H27" s="118"/>
      <x:c r="I27" s="118"/>
      <x:c r="J27" s="118"/>
      <x:c r="K27" s="118"/>
      <x:c r="L27" s="118"/>
    </x:row>
    <x:row r="28" ht="22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 ht="28" customHeight="1">
      <x:c r="A29" s="115" t="str">
        <x:v>核对边界与版本指纹</x:v>
      </x:c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</x:row>
    <x:row r="30" ht="50" customHeight="1">
      <x:c r="A30" s="138" t="str">
        <x:v>压缩包SHA-256</x:v>
      </x:c>
      <x:c r="B30" s="138"/>
      <x:c r="C30" s="138"/>
      <x:c r="D30" s="156" t="str">
        <x:v>7418116a09d96a1ece2d49df9d5bd51f5040d954c65efd496d3ca0b92630ea12</x:v>
      </x:c>
      <x:c r="E30" s="156"/>
      <x:c r="F30" s="156"/>
      <x:c r="G30" s="156"/>
      <x:c r="H30" s="156"/>
      <x:c r="I30" s="156"/>
      <x:c r="J30" s="156"/>
      <x:c r="K30" s="156"/>
      <x:c r="L30" s="156"/>
    </x:row>
    <x:row r="31" ht="50" customHeight="1">
      <x:c r="A31" s="128" t="str">
        <x:v>本次确实核对</x:v>
      </x:c>
      <x:c r="B31" s="128"/>
      <x:c r="C31" s="128"/>
      <x:c r="D31" s="118" t="str">
        <x:v>ZIP实际成员、30类路径匹配、114＋3数量、可解析文本/YAML/JSON/JSONL、表格与模板标题。</x:v>
      </x:c>
      <x:c r="E31" s="118"/>
      <x:c r="F31" s="118"/>
      <x:c r="G31" s="118"/>
      <x:c r="H31" s="118"/>
      <x:c r="I31" s="118"/>
      <x:c r="J31" s="118"/>
      <x:c r="K31" s="118"/>
      <x:c r="L31" s="118"/>
    </x:row>
    <x:row r="32" ht="50" customHeight="1">
      <x:c r="A32" s="138" t="str">
        <x:v>本次未重新执行</x:v>
      </x:c>
      <x:c r="B32" s="138"/>
      <x:c r="C32" s="138"/>
      <x:c r="D32" s="122" t="str">
        <x:v>业务规则回放、原文完整重渲染、向量生成、Parquet引擎读取和数据库/MCP部署。已有结果只按包内记录说明。</x:v>
      </x:c>
      <x:c r="E32" s="122"/>
      <x:c r="F32" s="122"/>
      <x:c r="G32" s="122"/>
      <x:c r="H32" s="122"/>
      <x:c r="I32" s="122"/>
      <x:c r="J32" s="122"/>
      <x:c r="K32" s="122"/>
      <x:c r="L32" s="122"/>
    </x:row>
    <x:row r="33" ht="22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 ht="30" customHeight="1">
      <x:c r="A34" s="56" t="str">
        <x:v>返回“阅读导航”工作表查看目录地图。</x:v>
      </x:c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</x:row>
  </x:sheetData>
  <x:mergeCells>
    <x:mergeCell ref="A1:L2"/>
    <x:mergeCell ref="A3:L3"/>
    <x:mergeCell ref="C5:L5"/>
    <x:mergeCell ref="A7:L7"/>
    <x:mergeCell ref="B8:D8"/>
    <x:mergeCell ref="E8:H8"/>
    <x:mergeCell ref="I8:L8"/>
    <x:mergeCell ref="B9:D9"/>
    <x:mergeCell ref="E9:H9"/>
    <x:mergeCell ref="I9:L9"/>
    <x:mergeCell ref="B10:D10"/>
    <x:mergeCell ref="E10:H10"/>
    <x:mergeCell ref="I10:L10"/>
    <x:mergeCell ref="B11:D11"/>
    <x:mergeCell ref="E11:H11"/>
    <x:mergeCell ref="I11:L11"/>
    <x:mergeCell ref="B12:D12"/>
    <x:mergeCell ref="E12:H12"/>
    <x:mergeCell ref="I12:L12"/>
    <x:mergeCell ref="B13:D13"/>
    <x:mergeCell ref="E13:H13"/>
    <x:mergeCell ref="I13:L13"/>
    <x:mergeCell ref="A15:L15"/>
    <x:mergeCell ref="A16:C16"/>
    <x:mergeCell ref="D16:L16"/>
    <x:mergeCell ref="A17:C17"/>
    <x:mergeCell ref="D17:L17"/>
    <x:mergeCell ref="A18:C18"/>
    <x:mergeCell ref="D18:L18"/>
    <x:mergeCell ref="A19:C19"/>
    <x:mergeCell ref="D19:L19"/>
    <x:mergeCell ref="A20:C20"/>
    <x:mergeCell ref="D20:L20"/>
    <x:mergeCell ref="A21:C21"/>
    <x:mergeCell ref="D21:L21"/>
    <x:mergeCell ref="A22:C22"/>
    <x:mergeCell ref="D22:L22"/>
    <x:mergeCell ref="A23:C23"/>
    <x:mergeCell ref="D23:L23"/>
    <x:mergeCell ref="A24:C24"/>
    <x:mergeCell ref="D24:L24"/>
    <x:mergeCell ref="A25:C25"/>
    <x:mergeCell ref="D25:L25"/>
    <x:mergeCell ref="A26:C26"/>
    <x:mergeCell ref="D26:L26"/>
    <x:mergeCell ref="A27:C27"/>
    <x:mergeCell ref="D27:L27"/>
    <x:mergeCell ref="A29:L29"/>
    <x:mergeCell ref="A30:C30"/>
    <x:mergeCell ref="D30:L30"/>
    <x:mergeCell ref="A31:C31"/>
    <x:mergeCell ref="D31:L31"/>
    <x:mergeCell ref="A32:C32"/>
    <x:mergeCell ref="D32:L32"/>
    <x:mergeCell ref="A34:L34"/>
  </x:mergeCells>
  <x:pageMargins left="0.7" right="0.7" top="0.75" bottom="0.75" header="0.3" footer="0.3"/>
</x:worksheet>
</file>